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RABAJO 2024" sheetId="1" r:id="rId4"/>
    <sheet state="visible" name="Ficha Tecnica del Indicador" sheetId="2" r:id="rId5"/>
  </sheets>
  <definedNames/>
  <calcPr/>
  <extLst>
    <ext uri="GoogleSheetsCustomDataVersion2">
      <go:sheetsCustomData xmlns:go="http://customooxmlschemas.google.com/" r:id="rId6" roundtripDataChecksum="zn5/uo0Je636lE8VMJdChZTiRu1e7k1tF0mV/mtmQl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======
ID#AAABK-Qz6lw
sst clinicas San sebastian    (2024-04-04 15:53:41)
Asesoria en indentificación de peligros por parte de la ARL.</t>
      </text>
    </comment>
  </commentList>
  <extLst>
    <ext uri="GoogleSheetsCustomDataVersion2">
      <go:sheetsCustomData xmlns:go="http://customooxmlschemas.google.com/" r:id="rId1" roundtripDataSignature="AMtx7mhIAvX/Vgmw1yRAJBEo5MTWAHc/6Q=="/>
    </ext>
  </extLst>
</comments>
</file>

<file path=xl/sharedStrings.xml><?xml version="1.0" encoding="utf-8"?>
<sst xmlns="http://schemas.openxmlformats.org/spreadsheetml/2006/main" count="320" uniqueCount="150">
  <si>
    <t xml:space="preserve">SISTEMA DE GESTION MEDIO AMBIENTAL </t>
  </si>
  <si>
    <t>PLAN ANUAL DE TRABAJO</t>
  </si>
  <si>
    <t>Fecha de Emisión</t>
  </si>
  <si>
    <t>Versión</t>
  </si>
  <si>
    <t>Código</t>
  </si>
  <si>
    <t>MA-ST-FO20</t>
  </si>
  <si>
    <t>CRONOGRAMA DE ACTIVIDADES</t>
  </si>
  <si>
    <t>ACTIVIDADES</t>
  </si>
  <si>
    <t>RECURSOS</t>
  </si>
  <si>
    <t>RESPONSABLE</t>
  </si>
  <si>
    <t>ENE</t>
  </si>
  <si>
    <t>FEB</t>
  </si>
  <si>
    <t>MAR</t>
  </si>
  <si>
    <t>ABR</t>
  </si>
  <si>
    <t>MAY</t>
  </si>
  <si>
    <t>JUN</t>
  </si>
  <si>
    <t>JUL</t>
  </si>
  <si>
    <t>AGO.</t>
  </si>
  <si>
    <t>SEP.</t>
  </si>
  <si>
    <t>OCT</t>
  </si>
  <si>
    <t>NOV</t>
  </si>
  <si>
    <t>DIC</t>
  </si>
  <si>
    <t>Consolidado</t>
  </si>
  <si>
    <t>P</t>
  </si>
  <si>
    <t>E</t>
  </si>
  <si>
    <t>% Cumplimiento</t>
  </si>
  <si>
    <t>SEGUIMIENTO ACTIVIDADES PROGRAMADAS</t>
  </si>
  <si>
    <t>TECNICO</t>
  </si>
  <si>
    <t>LIDER SST  - ASESOR ARL SURA</t>
  </si>
  <si>
    <t>ACTUALIZACION DEL PROGRAMA DE INSPECCIONES</t>
  </si>
  <si>
    <t>HUMANO</t>
  </si>
  <si>
    <t>LIDER SST</t>
  </si>
  <si>
    <t>REVISION Y ACTUALIZACION DEL PLAN DE CAPACITACIÓN</t>
  </si>
  <si>
    <t>LIDER SST-ARL SURA</t>
  </si>
  <si>
    <t>DISEÑO DEL PLAN ANUAL DE TRABAJO</t>
  </si>
  <si>
    <t>LIDER  SST</t>
  </si>
  <si>
    <t>MEDICIONES AMBIENTALES</t>
  </si>
  <si>
    <t>HUMANO, FINANCIERO</t>
  </si>
  <si>
    <t>ASESOR EXTERNO</t>
  </si>
  <si>
    <t>ACTIVIDADES DEL SISTEMA GLOBALMENTE ARMONIZADO</t>
  </si>
  <si>
    <t>LIDER SST-LIDER AMBIENTAL</t>
  </si>
  <si>
    <t>REUNIONES COMITÉ DE GAGAS</t>
  </si>
  <si>
    <t>PRESIDENTE GAGAS</t>
  </si>
  <si>
    <t>SENSIBILIZACIÓN DE DISPOSICIÓN FINAL DE RESIDUOS</t>
  </si>
  <si>
    <t>AUDITORIAS INTERNAS DEL SG-MEDIO AMBIENTE</t>
  </si>
  <si>
    <t>TECNICO Y FINANCIERO</t>
  </si>
  <si>
    <t>CALIDAD - ASESOR EXTERNO</t>
  </si>
  <si>
    <t>REVISIÓN DIRECCIÓN</t>
  </si>
  <si>
    <t>CALIDAD - GERENCIA</t>
  </si>
  <si>
    <t>CALCULO DE INDICADORES DEL MEDIO AMBIENTE (RH1)</t>
  </si>
  <si>
    <t>SEGUIMIENTO A INDICADORES</t>
  </si>
  <si>
    <t>REVISION ACCIONES CORRECTIVAS Y PREVENTIVAS AÑO 2024</t>
  </si>
  <si>
    <t>IMPLEMENTACIÓN DE ACCIONES CORRECTIVAS Y PREVENTIVAS.</t>
  </si>
  <si>
    <t>IMPLEMENTACIÓN DE ACCIONES DE MEJORA</t>
  </si>
  <si>
    <t>SENSIBILIZACIÓN MANEJO DE RESIDUOS (SEGREGACION EN LA FUENTE)</t>
  </si>
  <si>
    <t>TECNICO Y HUMANO</t>
  </si>
  <si>
    <t>p</t>
  </si>
  <si>
    <t>ACTUALIZACIÓN DEL DOCUMENTO PGIRSA</t>
  </si>
  <si>
    <t>SOCIALIZACIÓN DOCUMENTO PGIRSA</t>
  </si>
  <si>
    <t>CAPACITACIÓN GESTIÓN INTEGRAL DE RESIDUOS HOSPITALARIOS</t>
  </si>
  <si>
    <t>LIDER SST, BIORESIDUOS</t>
  </si>
  <si>
    <t>CARACTERIZACION DE AGUAS SERVIDAS DE LA INSTITUCION</t>
  </si>
  <si>
    <t>SOLICITUD DE DOCUMENTOS CUMPLIMIENTO AMBIENTAL (CONCEPTO SANITARIO) PROVEEDORES</t>
  </si>
  <si>
    <t>P: Programado</t>
  </si>
  <si>
    <t>E:Ejecutado</t>
  </si>
  <si>
    <t>ROJO</t>
  </si>
  <si>
    <t>NARANJA</t>
  </si>
  <si>
    <t>AMARILLO</t>
  </si>
  <si>
    <t>VERDE</t>
  </si>
  <si>
    <t>TOTAL</t>
  </si>
  <si>
    <t>Realizo</t>
  </si>
  <si>
    <t>CONTROL ESTADISTICAS</t>
  </si>
  <si>
    <t>PROGRAMADO MENSUAL</t>
  </si>
  <si>
    <t>Leidy Luna Gonzalez
Responsable SST</t>
  </si>
  <si>
    <t>EJECUTADO MENSUAL</t>
  </si>
  <si>
    <t>METAS</t>
  </si>
  <si>
    <t>PORCENTAJE DE AVANCE</t>
  </si>
  <si>
    <t>LINEA</t>
  </si>
  <si>
    <t>VACIO</t>
  </si>
  <si>
    <t>% CUMPLIMIENTO MENSUAL</t>
  </si>
  <si>
    <t>Aprobo</t>
  </si>
  <si>
    <t>PROGRAMADO ACUMULADO</t>
  </si>
  <si>
    <t>EJECUTADO ACUMULADO</t>
  </si>
  <si>
    <t>Empleador</t>
  </si>
  <si>
    <t>% CUMPLIMIENTO ACUMULADO</t>
  </si>
  <si>
    <t>GESTIÓN DE CALIDAD</t>
  </si>
  <si>
    <r>
      <rPr>
        <rFont val="Aparajita"/>
        <color rgb="FF000000"/>
        <sz val="10.0"/>
      </rPr>
      <t xml:space="preserve">FICHA TÉCNICA DE INDICADORES </t>
    </r>
    <r>
      <rPr>
        <rFont val="Aparajita"/>
        <color rgb="FF000000"/>
        <sz val="10.0"/>
      </rPr>
      <t>DE GESTIÓN</t>
    </r>
  </si>
  <si>
    <t>CÓDIGO</t>
  </si>
  <si>
    <t>MA-ST-FO07</t>
  </si>
  <si>
    <t>VERSIÓN</t>
  </si>
  <si>
    <t>1</t>
  </si>
  <si>
    <t>VIGENCIA</t>
  </si>
  <si>
    <t>Página</t>
  </si>
  <si>
    <t>1 DE 1</t>
  </si>
  <si>
    <t>DEFINICIÓN DEL INDICADOR</t>
  </si>
  <si>
    <t>NOMBRE DEL INDICADOR</t>
  </si>
  <si>
    <t>EJECUCION DEL PLAN DE TRABAJO ANUAL EN SST</t>
  </si>
  <si>
    <t>OBJETIVO DEL INDICADOR</t>
  </si>
  <si>
    <t>TIPO DE INDICADOR</t>
  </si>
  <si>
    <t>LINEA BASE</t>
  </si>
  <si>
    <t>META OBJETIVO</t>
  </si>
  <si>
    <t>META</t>
  </si>
  <si>
    <t xml:space="preserve">PLAZO  DE CUMPLIMIENTO </t>
  </si>
  <si>
    <t>VIGENCIA DE CUMPLIMENTO</t>
  </si>
  <si>
    <t>Medir el cumplimiento y ejecuccion de las actividades programadas en el Plan de Trabajo Anual en SST</t>
  </si>
  <si>
    <t>31 de Diciembre</t>
  </si>
  <si>
    <t>INFORMACIÓN PARA LA MEDICIÓN DEL INDICADOR</t>
  </si>
  <si>
    <t xml:space="preserve"> </t>
  </si>
  <si>
    <t>UNIDAD DE MEDIDA</t>
  </si>
  <si>
    <t>FRECUENCIA</t>
  </si>
  <si>
    <t>META VIGENCIA</t>
  </si>
  <si>
    <t>RESPONSABLE MEDICIÓN</t>
  </si>
  <si>
    <t>RESPONSABLE ANÁLISIS</t>
  </si>
  <si>
    <t>ACTORES INTERESADOS EN EL RESULTADO</t>
  </si>
  <si>
    <t>MENSUAL</t>
  </si>
  <si>
    <t>COORDINADOR SG-SST</t>
  </si>
  <si>
    <t>FUENTE DE INFORMACIÓN</t>
  </si>
  <si>
    <t>FÓRMULA DE CÁLCULO</t>
  </si>
  <si>
    <t>Plan de trabajo, cronograma de capacitacion , entrega de Epp,</t>
  </si>
  <si>
    <t>Numero de actividades realizadas en el mes / Número de actividades planeadas en el mes *100</t>
  </si>
  <si>
    <t>COMPORTAMIENTO INDICADOR</t>
  </si>
  <si>
    <t>Meses</t>
  </si>
  <si>
    <t>AGOST</t>
  </si>
  <si>
    <t>SEPT</t>
  </si>
  <si>
    <t>Dato Numerador</t>
  </si>
  <si>
    <t>Dato Denominador</t>
  </si>
  <si>
    <t>MEDICIÓN</t>
  </si>
  <si>
    <t>Periodo</t>
  </si>
  <si>
    <t>Datos</t>
  </si>
  <si>
    <t>Meta Vigencia</t>
  </si>
  <si>
    <t>Meta Objetivo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</si>
  <si>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</si>
  <si>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</si>
  <si>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</si>
  <si>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</si>
  <si>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</si>
  <si>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</si>
  <si>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</si>
  <si>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</si>
  <si>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</si>
  <si>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</si>
  <si>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</si>
  <si>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</si>
  <si>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Análisis/Interpretación de Resultados del Indicador</t>
  </si>
  <si>
    <t>Observaciones</t>
  </si>
  <si>
    <t xml:space="preserve">Requiere Acción Correctiva, Preventiva o de Mejora:                                                      </t>
  </si>
  <si>
    <t>NO:</t>
  </si>
  <si>
    <t>SI</t>
  </si>
  <si>
    <t>X</t>
  </si>
  <si>
    <t>Notas: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</si>
</sst>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20">
    <font>
      <sz val="11.0"/>
      <color theme="1"/>
      <name val="Calibri"/>
      <scheme val="minor"/>
    </font>
    <font>
      <b/>
      <sz val="10.0"/>
      <color theme="1"/>
      <name val="Arial"/>
    </font>
    <font/>
    <font>
      <b/>
      <sz val="14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8.0"/>
      <color theme="1"/>
      <name val="Arial"/>
    </font>
    <font>
      <b/>
      <sz val="10.0"/>
      <color theme="0"/>
      <name val="Arial"/>
    </font>
    <font>
      <b/>
      <sz val="11.0"/>
      <color theme="1"/>
      <name val="Arial"/>
    </font>
    <font>
      <b/>
      <sz val="18.0"/>
      <color theme="1"/>
      <name val="Arial"/>
    </font>
    <font>
      <b/>
      <sz val="10.0"/>
      <color theme="5"/>
      <name val="Arial"/>
    </font>
    <font>
      <sz val="10.0"/>
      <color rgb="FF000000"/>
      <name val="Aparajita"/>
    </font>
    <font>
      <b/>
      <sz val="10.0"/>
      <color rgb="FF000000"/>
      <name val="Aparajita"/>
    </font>
    <font>
      <sz val="10.0"/>
      <color theme="0"/>
      <name val="Aparajita"/>
    </font>
    <font>
      <b/>
      <sz val="10.0"/>
      <color theme="1"/>
      <name val="Aparajita"/>
    </font>
    <font>
      <b/>
      <sz val="10.0"/>
      <color rgb="FF0000FF"/>
      <name val="Aparajita"/>
    </font>
    <font>
      <sz val="10.0"/>
      <color rgb="FFFF0000"/>
      <name val="Aparajita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6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1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3" fontId="4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4" fontId="1" numFmtId="0" xfId="0" applyAlignment="1" applyBorder="1" applyFill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31" fillId="4" fontId="1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4" fontId="1" numFmtId="0" xfId="0" applyAlignment="1" applyBorder="1" applyFont="1">
      <alignment horizontal="center" vertical="center"/>
    </xf>
    <xf borderId="39" fillId="5" fontId="1" numFmtId="0" xfId="0" applyAlignment="1" applyBorder="1" applyFill="1" applyFont="1">
      <alignment horizontal="center" vertical="center"/>
    </xf>
    <xf borderId="40" fillId="6" fontId="5" numFmtId="0" xfId="0" applyAlignment="1" applyBorder="1" applyFill="1" applyFont="1">
      <alignment horizontal="left" shrinkToFit="0" vertical="center" wrapText="1"/>
    </xf>
    <xf borderId="41" fillId="0" fontId="6" numFmtId="0" xfId="0" applyAlignment="1" applyBorder="1" applyFont="1">
      <alignment horizontal="center" shrinkToFit="0" vertical="center" wrapText="1"/>
    </xf>
    <xf borderId="41" fillId="2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readingOrder="0" vertical="center"/>
    </xf>
    <xf borderId="41" fillId="2" fontId="7" numFmtId="0" xfId="0" applyAlignment="1" applyBorder="1" applyFont="1">
      <alignment horizontal="center" readingOrder="0" vertical="center"/>
    </xf>
    <xf borderId="41" fillId="2" fontId="8" numFmtId="0" xfId="0" applyAlignment="1" applyBorder="1" applyFont="1">
      <alignment vertical="center"/>
    </xf>
    <xf borderId="41" fillId="0" fontId="8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9" xfId="0" applyAlignment="1" applyBorder="1" applyFont="1" applyNumberFormat="1">
      <alignment horizontal="center" vertical="center"/>
    </xf>
    <xf borderId="41" fillId="0" fontId="7" numFmtId="0" xfId="0" applyAlignment="1" applyBorder="1" applyFont="1">
      <alignment horizontal="center" vertical="center"/>
    </xf>
    <xf borderId="43" fillId="6" fontId="5" numFmtId="0" xfId="0" applyAlignment="1" applyBorder="1" applyFont="1">
      <alignment horizontal="left" shrinkToFit="0" vertical="center" wrapText="1"/>
    </xf>
    <xf borderId="44" fillId="0" fontId="6" numFmtId="0" xfId="0" applyAlignment="1" applyBorder="1" applyFont="1">
      <alignment horizontal="center" shrinkToFit="0" vertical="center" wrapText="1"/>
    </xf>
    <xf borderId="44" fillId="2" fontId="7" numFmtId="0" xfId="0" applyAlignment="1" applyBorder="1" applyFont="1">
      <alignment horizontal="center" vertical="center"/>
    </xf>
    <xf borderId="44" fillId="2" fontId="7" numFmtId="0" xfId="0" applyAlignment="1" applyBorder="1" applyFont="1">
      <alignment horizontal="center" readingOrder="0" vertical="center"/>
    </xf>
    <xf borderId="44" fillId="0" fontId="7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5" fillId="0" fontId="1" numFmtId="9" xfId="0" applyAlignment="1" applyBorder="1" applyFont="1" applyNumberFormat="1">
      <alignment horizontal="center" vertical="center"/>
    </xf>
    <xf borderId="41" fillId="2" fontId="8" numFmtId="0" xfId="0" applyAlignment="1" applyBorder="1" applyFont="1">
      <alignment horizontal="center" vertical="center"/>
    </xf>
    <xf borderId="41" fillId="2" fontId="8" numFmtId="0" xfId="0" applyAlignment="1" applyBorder="1" applyFont="1">
      <alignment horizontal="center" readingOrder="0" vertical="center"/>
    </xf>
    <xf borderId="41" fillId="0" fontId="8" numFmtId="0" xfId="0" applyAlignment="1" applyBorder="1" applyFont="1">
      <alignment horizontal="center" readingOrder="0" vertical="center"/>
    </xf>
    <xf borderId="41" fillId="2" fontId="6" numFmtId="17" xfId="0" applyAlignment="1" applyBorder="1" applyFont="1" applyNumberFormat="1">
      <alignment horizontal="center" shrinkToFit="0" vertical="center" wrapText="1"/>
    </xf>
    <xf borderId="44" fillId="0" fontId="8" numFmtId="0" xfId="0" applyAlignment="1" applyBorder="1" applyFont="1">
      <alignment horizontal="center" vertical="center"/>
    </xf>
    <xf borderId="42" fillId="0" fontId="8" numFmtId="9" xfId="0" applyAlignment="1" applyBorder="1" applyFont="1" applyNumberFormat="1">
      <alignment horizontal="center" vertical="center"/>
    </xf>
    <xf borderId="46" fillId="0" fontId="8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47" fillId="0" fontId="8" numFmtId="9" xfId="0" applyAlignment="1" applyBorder="1" applyFont="1" applyNumberFormat="1">
      <alignment horizontal="center" vertical="center"/>
    </xf>
    <xf borderId="46" fillId="0" fontId="6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horizontal="center" readingOrder="0" vertical="center"/>
    </xf>
    <xf borderId="45" fillId="0" fontId="8" numFmtId="9" xfId="0" applyAlignment="1" applyBorder="1" applyFont="1" applyNumberFormat="1">
      <alignment horizontal="center" vertical="center"/>
    </xf>
    <xf borderId="48" fillId="2" fontId="9" numFmtId="0" xfId="0" applyAlignment="1" applyBorder="1" applyFont="1">
      <alignment horizontal="center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7" fontId="1" numFmtId="0" xfId="0" applyAlignment="1" applyBorder="1" applyFill="1" applyFont="1">
      <alignment horizontal="center" vertical="center"/>
    </xf>
    <xf borderId="51" fillId="7" fontId="1" numFmtId="9" xfId="0" applyAlignment="1" applyBorder="1" applyFont="1" applyNumberFormat="1">
      <alignment horizontal="center" vertical="center"/>
    </xf>
    <xf borderId="32" fillId="2" fontId="1" numFmtId="0" xfId="0" applyAlignment="1" applyBorder="1" applyFont="1">
      <alignment horizontal="center" vertical="center"/>
    </xf>
    <xf borderId="52" fillId="7" fontId="1" numFmtId="0" xfId="0" applyAlignment="1" applyBorder="1" applyFont="1">
      <alignment horizontal="center" vertical="center"/>
    </xf>
    <xf borderId="52" fillId="7" fontId="1" numFmtId="9" xfId="0" applyAlignment="1" applyBorder="1" applyFont="1" applyNumberFormat="1">
      <alignment horizontal="center" vertical="center"/>
    </xf>
    <xf borderId="0" fillId="0" fontId="8" numFmtId="9" xfId="0" applyFont="1" applyNumberFormat="1"/>
    <xf borderId="0" fillId="0" fontId="1" numFmtId="0" xfId="0" applyFont="1"/>
    <xf borderId="0" fillId="0" fontId="8" numFmtId="0" xfId="0" applyAlignment="1" applyFont="1">
      <alignment horizontal="center"/>
    </xf>
    <xf borderId="0" fillId="0" fontId="10" numFmtId="0" xfId="0" applyFont="1"/>
    <xf borderId="53" fillId="2" fontId="8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vertical="center"/>
    </xf>
    <xf borderId="54" fillId="0" fontId="2" numFmtId="0" xfId="0" applyBorder="1" applyFont="1"/>
    <xf borderId="55" fillId="8" fontId="11" numFmtId="0" xfId="0" applyAlignment="1" applyBorder="1" applyFill="1" applyFont="1">
      <alignment horizontal="center" vertical="center"/>
    </xf>
    <xf borderId="12" fillId="8" fontId="1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vertical="center"/>
    </xf>
    <xf borderId="56" fillId="0" fontId="1" numFmtId="0" xfId="0" applyAlignment="1" applyBorder="1" applyFont="1">
      <alignment horizontal="center" vertical="center"/>
    </xf>
    <xf borderId="57" fillId="0" fontId="2" numFmtId="0" xfId="0" applyBorder="1" applyFont="1"/>
    <xf borderId="0" fillId="0" fontId="1" numFmtId="0" xfId="0" applyAlignment="1" applyFont="1">
      <alignment horizontal="center" vertical="center"/>
    </xf>
    <xf borderId="58" fillId="0" fontId="2" numFmtId="0" xfId="0" applyBorder="1" applyFont="1"/>
    <xf borderId="14" fillId="0" fontId="8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vertical="center"/>
    </xf>
    <xf borderId="59" fillId="0" fontId="4" numFmtId="0" xfId="0" applyAlignment="1" applyBorder="1" applyFont="1">
      <alignment horizontal="center" vertical="center"/>
    </xf>
    <xf borderId="12" fillId="0" fontId="1" numFmtId="9" xfId="0" applyAlignment="1" applyBorder="1" applyFont="1" applyNumberFormat="1">
      <alignment horizontal="center" vertical="center"/>
    </xf>
    <xf borderId="12" fillId="0" fontId="1" numFmtId="1" xfId="0" applyAlignment="1" applyBorder="1" applyFont="1" applyNumberFormat="1">
      <alignment horizontal="center" vertical="center"/>
    </xf>
    <xf borderId="12" fillId="0" fontId="13" numFmtId="1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58" fillId="0" fontId="4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left" vertical="center"/>
    </xf>
    <xf borderId="18" fillId="0" fontId="1" numFmtId="0" xfId="0" applyAlignment="1" applyBorder="1" applyFont="1">
      <alignment vertical="center"/>
    </xf>
    <xf borderId="59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9" fillId="0" fontId="1" numFmtId="9" xfId="0" applyAlignment="1" applyBorder="1" applyFont="1" applyNumberFormat="1">
      <alignment horizontal="center" vertical="center"/>
    </xf>
    <xf borderId="60" fillId="0" fontId="1" numFmtId="0" xfId="0" applyAlignment="1" applyBorder="1" applyFont="1">
      <alignment horizontal="center" shrinkToFit="0" vertical="center" wrapText="1"/>
    </xf>
    <xf borderId="61" fillId="0" fontId="2" numFmtId="0" xfId="0" applyBorder="1" applyFont="1"/>
    <xf borderId="0" fillId="0" fontId="14" numFmtId="0" xfId="0" applyFont="1"/>
    <xf borderId="46" fillId="0" fontId="14" numFmtId="0" xfId="0" applyBorder="1" applyFont="1"/>
    <xf borderId="12" fillId="8" fontId="15" numFmtId="0" xfId="0" applyAlignment="1" applyBorder="1" applyFont="1">
      <alignment horizontal="center" vertical="center"/>
    </xf>
    <xf borderId="9" fillId="0" fontId="14" numFmtId="0" xfId="0" applyBorder="1" applyFont="1"/>
    <xf borderId="62" fillId="0" fontId="2" numFmtId="0" xfId="0" applyBorder="1" applyFont="1"/>
    <xf borderId="9" fillId="0" fontId="14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60" fillId="0" fontId="2" numFmtId="0" xfId="0" applyBorder="1" applyFont="1"/>
    <xf borderId="41" fillId="8" fontId="14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12" fillId="8" fontId="14" numFmtId="0" xfId="0" applyAlignment="1" applyBorder="1" applyFont="1">
      <alignment horizontal="center" vertical="center"/>
    </xf>
    <xf borderId="12" fillId="0" fontId="14" numFmtId="49" xfId="0" applyAlignment="1" applyBorder="1" applyFont="1" applyNumberFormat="1">
      <alignment horizontal="center" vertical="center"/>
    </xf>
    <xf borderId="12" fillId="0" fontId="15" numFmtId="0" xfId="0" applyAlignment="1" applyBorder="1" applyFont="1">
      <alignment horizontal="center" vertical="center"/>
    </xf>
    <xf borderId="0" fillId="0" fontId="16" numFmtId="0" xfId="0" applyFont="1"/>
    <xf borderId="12" fillId="0" fontId="17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2" fillId="0" fontId="14" numFmtId="9" xfId="0" applyAlignment="1" applyBorder="1" applyFont="1" applyNumberFormat="1">
      <alignment horizontal="center" vertical="center"/>
    </xf>
    <xf borderId="12" fillId="0" fontId="14" numFmtId="1" xfId="0" applyAlignment="1" applyBorder="1" applyFont="1" applyNumberFormat="1">
      <alignment horizontal="center" vertical="center"/>
    </xf>
    <xf borderId="12" fillId="0" fontId="14" numFmtId="0" xfId="0" applyAlignment="1" applyBorder="1" applyFont="1">
      <alignment horizontal="left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0" fillId="0" fontId="18" numFmtId="0" xfId="0" applyFont="1"/>
    <xf borderId="12" fillId="0" fontId="15" numFmtId="0" xfId="0" applyAlignment="1" applyBorder="1" applyFont="1">
      <alignment horizontal="left" shrinkToFit="0" vertical="center" wrapText="1"/>
    </xf>
    <xf borderId="41" fillId="0" fontId="15" numFmtId="0" xfId="0" applyAlignment="1" applyBorder="1" applyFont="1">
      <alignment horizontal="center" vertical="center"/>
    </xf>
    <xf borderId="41" fillId="0" fontId="15" numFmtId="0" xfId="0" applyAlignment="1" applyBorder="1" applyFont="1">
      <alignment horizontal="center" shrinkToFit="0" vertical="center" wrapText="1"/>
    </xf>
    <xf borderId="41" fillId="0" fontId="14" numFmtId="0" xfId="0" applyAlignment="1" applyBorder="1" applyFont="1">
      <alignment horizontal="center" vertical="center"/>
    </xf>
    <xf borderId="0" fillId="0" fontId="14" numFmtId="10" xfId="0" applyFont="1" applyNumberFormat="1"/>
    <xf borderId="41" fillId="0" fontId="15" numFmtId="0" xfId="0" applyAlignment="1" applyBorder="1" applyFont="1">
      <alignment horizontal="center" shrinkToFit="0" wrapText="1"/>
    </xf>
    <xf borderId="10" fillId="0" fontId="14" numFmtId="0" xfId="0" applyBorder="1" applyFont="1"/>
    <xf borderId="41" fillId="0" fontId="15" numFmtId="10" xfId="0" applyAlignment="1" applyBorder="1" applyFont="1" applyNumberFormat="1">
      <alignment horizontal="center" vertical="center"/>
    </xf>
    <xf borderId="41" fillId="0" fontId="15" numFmtId="9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14" numFmtId="10" xfId="0" applyAlignment="1" applyFont="1" applyNumberFormat="1">
      <alignment horizontal="center" vertical="center"/>
    </xf>
    <xf borderId="57" fillId="0" fontId="14" numFmtId="0" xfId="0" applyBorder="1" applyFont="1"/>
    <xf borderId="57" fillId="0" fontId="14" numFmtId="10" xfId="0" applyAlignment="1" applyBorder="1" applyFont="1" applyNumberFormat="1">
      <alignment horizontal="center" vertical="center"/>
    </xf>
    <xf borderId="57" fillId="0" fontId="15" numFmtId="0" xfId="0" applyAlignment="1" applyBorder="1" applyFont="1">
      <alignment horizontal="center" vertical="center"/>
    </xf>
    <xf borderId="11" fillId="0" fontId="14" numFmtId="0" xfId="0" applyBorder="1" applyFont="1"/>
    <xf borderId="60" fillId="0" fontId="15" numFmtId="0" xfId="0" applyAlignment="1" applyBorder="1" applyFont="1">
      <alignment horizontal="left" vertical="center"/>
    </xf>
    <xf borderId="0" fillId="0" fontId="19" numFmtId="0" xfId="0" applyFont="1"/>
    <xf borderId="9" fillId="0" fontId="14" numFmtId="0" xfId="0" applyAlignment="1" applyBorder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4" numFmtId="9" xfId="0" applyAlignment="1" applyFont="1" applyNumberFormat="1">
      <alignment horizontal="center" vertical="center"/>
    </xf>
    <xf borderId="16" fillId="0" fontId="15" numFmtId="0" xfId="0" applyAlignment="1" applyBorder="1" applyFont="1">
      <alignment horizontal="left" vertical="center"/>
    </xf>
    <xf borderId="0" fillId="0" fontId="15" numFmtId="10" xfId="0" applyAlignment="1" applyFont="1" applyNumberFormat="1">
      <alignment horizontal="right" vertical="center"/>
    </xf>
    <xf borderId="12" fillId="0" fontId="14" numFmtId="0" xfId="0" applyBorder="1" applyFont="1"/>
    <xf borderId="8" fillId="0" fontId="14" numFmtId="0" xfId="0" applyBorder="1" applyFont="1"/>
    <xf borderId="16" fillId="0" fontId="14" numFmtId="0" xfId="0" applyBorder="1" applyFont="1"/>
    <xf borderId="16" fillId="0" fontId="15" numFmtId="0" xfId="0" applyAlignment="1" applyBorder="1" applyFont="1">
      <alignment horizontal="left" shrinkToFit="0" vertical="center" wrapText="1"/>
    </xf>
    <xf borderId="60" fillId="0" fontId="14" numFmtId="0" xfId="0" applyAlignment="1" applyBorder="1" applyFont="1">
      <alignment horizontal="left" shrinkToFit="0" vertical="center" wrapText="1"/>
    </xf>
    <xf borderId="57" fillId="0" fontId="14" numFmtId="0" xfId="0" applyAlignment="1" applyBorder="1" applyFont="1">
      <alignment horizontal="center" vertical="center"/>
    </xf>
    <xf borderId="57" fillId="0" fontId="14" numFmtId="9" xfId="0" applyAlignment="1" applyBorder="1" applyFont="1" applyNumberFormat="1">
      <alignment horizontal="center" vertical="center"/>
    </xf>
    <xf borderId="57" fillId="0" fontId="14" numFmtId="9" xfId="0" applyBorder="1" applyFont="1" applyNumberFormat="1"/>
    <xf borderId="61" fillId="0" fontId="14" numFmtId="0" xfId="0" applyBorder="1" applyFont="1"/>
    <xf borderId="0" fillId="0" fontId="14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CFFFF"/>
          <bgColor rgb="FFCC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1390374331550802"/>
          <c:y val="0.04336043360433604"/>
          <c:w val="0.5793226381461676"/>
          <c:h val="0.880758807588075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'PLAN DE TRABAJO 2024'!$AL$32:$AP$32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00650787635503"/>
          <c:y val="0.12272650918635171"/>
          <c:w val="0.7964963203129021"/>
          <c:h val="0.6438008748906386"/>
        </c:manualLayout>
      </c:layout>
      <c:barChart>
        <c:barDir val="col"/>
        <c:ser>
          <c:idx val="0"/>
          <c:order val="0"/>
          <c:tx>
            <c:v>Datos</c:v>
          </c:tx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cat>
            <c:strRef>
              <c:f>'Ficha Tecnica del Indicador'!$B$24:$B$35</c:f>
            </c:strRef>
          </c:cat>
          <c:val>
            <c:numRef>
              <c:f>'Ficha Tecnica del Indicador'!$C$24:$C$35</c:f>
              <c:numCache/>
            </c:numRef>
          </c:val>
        </c:ser>
        <c:ser>
          <c:idx val="1"/>
          <c:order val="1"/>
          <c:tx>
            <c:v>Meta Vigencia</c:v>
          </c:tx>
          <c:spPr>
            <a:solidFill>
              <a:srgbClr val="FF420E"/>
            </a:solidFill>
            <a:ln cmpd="sng">
              <a:solidFill>
                <a:srgbClr val="000000"/>
              </a:solidFill>
            </a:ln>
          </c:spPr>
          <c:cat>
            <c:strRef>
              <c:f>'Ficha Tecnica del Indicador'!$B$24:$B$35</c:f>
            </c:strRef>
          </c:cat>
          <c:val>
            <c:numRef>
              <c:f>'Ficha Tecnica del Indicador'!$D$24:$D$35</c:f>
              <c:numCache/>
            </c:numRef>
          </c:val>
        </c:ser>
        <c:axId val="1122147376"/>
        <c:axId val="845573933"/>
      </c:barChart>
      <c:lineChart>
        <c:varyColors val="0"/>
        <c:ser>
          <c:idx val="2"/>
          <c:order val="2"/>
          <c:tx>
            <c:v>Meta Objetivo</c:v>
          </c:tx>
          <c:spPr>
            <a:ln cmpd="sng" w="38100">
              <a:solidFill>
                <a:srgbClr val="FFD32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'Ficha Tecnica del Indicador'!$B$24:$B$35</c:f>
            </c:strRef>
          </c:cat>
          <c:val>
            <c:numRef>
              <c:f>'Ficha Tecnica del Indicador'!$E$24:$E$35</c:f>
              <c:numCache/>
            </c:numRef>
          </c:val>
          <c:smooth val="0"/>
        </c:ser>
        <c:axId val="1122147376"/>
        <c:axId val="845573933"/>
      </c:lineChart>
      <c:catAx>
        <c:axId val="112214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845573933"/>
      </c:catAx>
      <c:valAx>
        <c:axId val="8455739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2147376"/>
      </c:valAx>
    </c:plotArea>
    <c:legend>
      <c:legendPos val="r"/>
      <c:layout>
        <c:manualLayout>
          <c:xMode val="edge"/>
          <c:yMode val="edge"/>
          <c:x val="0.04117793851392669"/>
          <c:y val="0.8800392114769298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6.jp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133350</xdr:colOff>
      <xdr:row>30</xdr:row>
      <xdr:rowOff>152400</xdr:rowOff>
    </xdr:from>
    <xdr:ext cx="3562350" cy="2343150"/>
    <xdr:graphicFrame>
      <xdr:nvGraphicFramePr>
        <xdr:cNvPr id="9482082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32</xdr:col>
      <xdr:colOff>19050</xdr:colOff>
      <xdr:row>31</xdr:row>
      <xdr:rowOff>0</xdr:rowOff>
    </xdr:from>
    <xdr:ext cx="3571875" cy="23431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85725</xdr:rowOff>
    </xdr:from>
    <xdr:ext cx="1009650" cy="7429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19050</xdr:colOff>
      <xdr:row>31</xdr:row>
      <xdr:rowOff>0</xdr:rowOff>
    </xdr:from>
    <xdr:ext cx="3571875" cy="23431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85725</xdr:rowOff>
    </xdr:from>
    <xdr:ext cx="1009650" cy="7429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85725</xdr:rowOff>
    </xdr:from>
    <xdr:ext cx="1009650" cy="733425"/>
    <xdr:pic>
      <xdr:nvPicPr>
        <xdr:cNvPr descr="isnecor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0</xdr:row>
      <xdr:rowOff>85725</xdr:rowOff>
    </xdr:from>
    <xdr:ext cx="1095375" cy="6953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22</xdr:row>
      <xdr:rowOff>57150</xdr:rowOff>
    </xdr:from>
    <xdr:ext cx="5343525" cy="2857500"/>
    <xdr:graphicFrame>
      <xdr:nvGraphicFramePr>
        <xdr:cNvPr id="13379687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114300</xdr:colOff>
      <xdr:row>1</xdr:row>
      <xdr:rowOff>0</xdr:rowOff>
    </xdr:from>
    <xdr:ext cx="1047750" cy="64770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0</xdr:row>
      <xdr:rowOff>76200</xdr:rowOff>
    </xdr:from>
    <xdr:ext cx="1524000" cy="1104900"/>
    <xdr:pic>
      <xdr:nvPicPr>
        <xdr:cNvPr descr="isnecor"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4.43" defaultRowHeight="15.0"/>
  <cols>
    <col customWidth="1" min="1" max="4" width="10.71"/>
    <col customWidth="1" min="5" max="5" width="7.71"/>
    <col customWidth="1" min="6" max="6" width="1.86"/>
    <col customWidth="1" min="7" max="7" width="25.14"/>
    <col customWidth="1" min="8" max="8" width="26.71"/>
    <col customWidth="1" min="9" max="22" width="4.71"/>
    <col customWidth="1" min="23" max="23" width="5.57"/>
    <col customWidth="1" min="24" max="31" width="4.71"/>
    <col customWidth="1" min="32" max="32" width="7.0"/>
    <col customWidth="1" min="33" max="33" width="13.71"/>
    <col customWidth="1" min="34" max="34" width="9.57"/>
    <col customWidth="1" min="35" max="35" width="18.86"/>
    <col customWidth="1" min="36" max="38" width="10.71"/>
    <col customWidth="1" min="39" max="39" width="12.57"/>
    <col customWidth="1" min="40" max="42" width="10.71"/>
  </cols>
  <sheetData>
    <row r="1" ht="24.0" customHeight="1">
      <c r="A1" s="1"/>
      <c r="B1" s="2"/>
      <c r="C1" s="2"/>
      <c r="D1" s="2"/>
      <c r="E1" s="2"/>
      <c r="F1" s="3"/>
      <c r="G1" s="4" t="s">
        <v>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</row>
    <row r="2" ht="18.0" customHeight="1">
      <c r="A2" s="7"/>
      <c r="F2" s="8"/>
      <c r="G2" s="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12" t="s">
        <v>2</v>
      </c>
      <c r="AB2" s="13"/>
      <c r="AC2" s="13"/>
      <c r="AD2" s="13"/>
      <c r="AE2" s="13"/>
      <c r="AF2" s="14"/>
      <c r="AG2" s="12">
        <v>2024.0</v>
      </c>
      <c r="AH2" s="13"/>
      <c r="AI2" s="15"/>
    </row>
    <row r="3">
      <c r="A3" s="7"/>
      <c r="F3" s="8"/>
      <c r="G3" s="16"/>
      <c r="Z3" s="8"/>
      <c r="AA3" s="12" t="s">
        <v>3</v>
      </c>
      <c r="AB3" s="13"/>
      <c r="AC3" s="13"/>
      <c r="AD3" s="13"/>
      <c r="AE3" s="13"/>
      <c r="AF3" s="14"/>
      <c r="AG3" s="12">
        <v>1.0</v>
      </c>
      <c r="AH3" s="13"/>
      <c r="AI3" s="15"/>
    </row>
    <row r="4" ht="15.0" customHeight="1">
      <c r="A4" s="17"/>
      <c r="B4" s="18"/>
      <c r="C4" s="18"/>
      <c r="D4" s="18"/>
      <c r="E4" s="18"/>
      <c r="F4" s="19"/>
      <c r="G4" s="2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/>
      <c r="AA4" s="21" t="s">
        <v>4</v>
      </c>
      <c r="AB4" s="22"/>
      <c r="AC4" s="22"/>
      <c r="AD4" s="22"/>
      <c r="AE4" s="22"/>
      <c r="AF4" s="23"/>
      <c r="AG4" s="21" t="s">
        <v>5</v>
      </c>
      <c r="AH4" s="22"/>
      <c r="AI4" s="24"/>
    </row>
    <row r="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</row>
    <row r="6">
      <c r="A6" s="28" t="s">
        <v>7</v>
      </c>
      <c r="B6" s="29"/>
      <c r="C6" s="29"/>
      <c r="D6" s="29"/>
      <c r="E6" s="29"/>
      <c r="F6" s="30"/>
      <c r="G6" s="31" t="s">
        <v>8</v>
      </c>
      <c r="H6" s="31" t="s">
        <v>9</v>
      </c>
      <c r="I6" s="32" t="s">
        <v>10</v>
      </c>
      <c r="J6" s="33"/>
      <c r="K6" s="32" t="s">
        <v>11</v>
      </c>
      <c r="L6" s="33"/>
      <c r="M6" s="32" t="s">
        <v>12</v>
      </c>
      <c r="N6" s="33"/>
      <c r="O6" s="32" t="s">
        <v>13</v>
      </c>
      <c r="P6" s="33"/>
      <c r="Q6" s="32" t="s">
        <v>14</v>
      </c>
      <c r="R6" s="33"/>
      <c r="S6" s="32" t="s">
        <v>15</v>
      </c>
      <c r="T6" s="33"/>
      <c r="U6" s="32" t="s">
        <v>16</v>
      </c>
      <c r="V6" s="33"/>
      <c r="W6" s="32" t="s">
        <v>17</v>
      </c>
      <c r="X6" s="33"/>
      <c r="Y6" s="32" t="s">
        <v>18</v>
      </c>
      <c r="Z6" s="33"/>
      <c r="AA6" s="32" t="s">
        <v>19</v>
      </c>
      <c r="AB6" s="33"/>
      <c r="AC6" s="32" t="s">
        <v>20</v>
      </c>
      <c r="AD6" s="33"/>
      <c r="AE6" s="32" t="s">
        <v>21</v>
      </c>
      <c r="AF6" s="33"/>
      <c r="AG6" s="32" t="s">
        <v>22</v>
      </c>
      <c r="AH6" s="34"/>
      <c r="AI6" s="33"/>
    </row>
    <row r="7">
      <c r="A7" s="35"/>
      <c r="B7" s="36"/>
      <c r="C7" s="36"/>
      <c r="D7" s="36"/>
      <c r="E7" s="36"/>
      <c r="F7" s="37"/>
      <c r="G7" s="38"/>
      <c r="H7" s="38"/>
      <c r="I7" s="39" t="s">
        <v>23</v>
      </c>
      <c r="J7" s="39" t="s">
        <v>24</v>
      </c>
      <c r="K7" s="39" t="s">
        <v>23</v>
      </c>
      <c r="L7" s="39" t="s">
        <v>24</v>
      </c>
      <c r="M7" s="39" t="s">
        <v>23</v>
      </c>
      <c r="N7" s="39" t="s">
        <v>24</v>
      </c>
      <c r="O7" s="39" t="s">
        <v>23</v>
      </c>
      <c r="P7" s="39" t="s">
        <v>24</v>
      </c>
      <c r="Q7" s="39" t="s">
        <v>23</v>
      </c>
      <c r="R7" s="39" t="s">
        <v>24</v>
      </c>
      <c r="S7" s="39" t="s">
        <v>23</v>
      </c>
      <c r="T7" s="39" t="s">
        <v>24</v>
      </c>
      <c r="U7" s="39" t="s">
        <v>23</v>
      </c>
      <c r="V7" s="39" t="s">
        <v>24</v>
      </c>
      <c r="W7" s="39" t="s">
        <v>23</v>
      </c>
      <c r="X7" s="39" t="s">
        <v>24</v>
      </c>
      <c r="Y7" s="39" t="s">
        <v>23</v>
      </c>
      <c r="Z7" s="39" t="s">
        <v>24</v>
      </c>
      <c r="AA7" s="40" t="s">
        <v>23</v>
      </c>
      <c r="AB7" s="39" t="s">
        <v>24</v>
      </c>
      <c r="AC7" s="39" t="s">
        <v>23</v>
      </c>
      <c r="AD7" s="39" t="s">
        <v>24</v>
      </c>
      <c r="AE7" s="39" t="s">
        <v>23</v>
      </c>
      <c r="AF7" s="39" t="s">
        <v>24</v>
      </c>
      <c r="AG7" s="39" t="s">
        <v>23</v>
      </c>
      <c r="AH7" s="39" t="s">
        <v>24</v>
      </c>
      <c r="AI7" s="39" t="s">
        <v>25</v>
      </c>
    </row>
    <row r="8">
      <c r="A8" s="41" t="s">
        <v>26</v>
      </c>
      <c r="B8" s="13"/>
      <c r="C8" s="13"/>
      <c r="D8" s="13"/>
      <c r="E8" s="13"/>
      <c r="F8" s="14"/>
      <c r="G8" s="42" t="s">
        <v>27</v>
      </c>
      <c r="H8" s="42" t="s">
        <v>28</v>
      </c>
      <c r="I8" s="43"/>
      <c r="J8" s="43"/>
      <c r="K8" s="43" t="s">
        <v>23</v>
      </c>
      <c r="L8" s="44" t="s">
        <v>24</v>
      </c>
      <c r="M8" s="43"/>
      <c r="N8" s="43"/>
      <c r="O8" s="43" t="s">
        <v>23</v>
      </c>
      <c r="P8" s="45" t="s">
        <v>24</v>
      </c>
      <c r="Q8" s="43"/>
      <c r="R8" s="43"/>
      <c r="S8" s="43" t="s">
        <v>23</v>
      </c>
      <c r="T8" s="45" t="s">
        <v>24</v>
      </c>
      <c r="U8" s="43"/>
      <c r="V8" s="43"/>
      <c r="W8" s="43" t="s">
        <v>23</v>
      </c>
      <c r="X8" s="43"/>
      <c r="Y8" s="43"/>
      <c r="Z8" s="46"/>
      <c r="AA8" s="47" t="s">
        <v>23</v>
      </c>
      <c r="AB8" s="43"/>
      <c r="AC8" s="43"/>
      <c r="AD8" s="43"/>
      <c r="AE8" s="43" t="s">
        <v>23</v>
      </c>
      <c r="AF8" s="43"/>
      <c r="AG8" s="48">
        <f t="shared" ref="AG8:AG19" si="1">COUNTIF(I8:AF8,"P")</f>
        <v>6</v>
      </c>
      <c r="AH8" s="48">
        <f t="shared" ref="AH8:AH19" si="2">COUNTIF(I8:AF8,"E")</f>
        <v>3</v>
      </c>
      <c r="AI8" s="49">
        <f t="shared" ref="AI8:AI19" si="3">AH8/AG8</f>
        <v>0.5</v>
      </c>
    </row>
    <row r="9" ht="22.5" customHeight="1">
      <c r="A9" s="41" t="s">
        <v>29</v>
      </c>
      <c r="B9" s="13"/>
      <c r="C9" s="13"/>
      <c r="D9" s="13"/>
      <c r="E9" s="13"/>
      <c r="F9" s="14"/>
      <c r="G9" s="42" t="s">
        <v>30</v>
      </c>
      <c r="H9" s="42" t="s">
        <v>31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 t="s">
        <v>23</v>
      </c>
      <c r="Z9" s="43"/>
      <c r="AA9" s="50"/>
      <c r="AB9" s="43"/>
      <c r="AC9" s="43"/>
      <c r="AD9" s="43"/>
      <c r="AE9" s="43"/>
      <c r="AF9" s="43"/>
      <c r="AG9" s="48">
        <f t="shared" si="1"/>
        <v>1</v>
      </c>
      <c r="AH9" s="48">
        <f t="shared" si="2"/>
        <v>0</v>
      </c>
      <c r="AI9" s="49">
        <f t="shared" si="3"/>
        <v>0</v>
      </c>
    </row>
    <row r="10" ht="28.5" customHeight="1">
      <c r="A10" s="41" t="s">
        <v>32</v>
      </c>
      <c r="B10" s="13"/>
      <c r="C10" s="13"/>
      <c r="D10" s="13"/>
      <c r="E10" s="13"/>
      <c r="F10" s="14"/>
      <c r="G10" s="42" t="s">
        <v>30</v>
      </c>
      <c r="H10" s="42" t="s">
        <v>33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 t="s">
        <v>23</v>
      </c>
      <c r="Z10" s="43"/>
      <c r="AA10" s="50"/>
      <c r="AB10" s="43"/>
      <c r="AC10" s="43"/>
      <c r="AD10" s="43"/>
      <c r="AE10" s="43"/>
      <c r="AF10" s="43"/>
      <c r="AG10" s="48">
        <f t="shared" si="1"/>
        <v>1</v>
      </c>
      <c r="AH10" s="48">
        <f t="shared" si="2"/>
        <v>0</v>
      </c>
      <c r="AI10" s="49">
        <f t="shared" si="3"/>
        <v>0</v>
      </c>
    </row>
    <row r="11" ht="23.25" customHeight="1">
      <c r="A11" s="51" t="s">
        <v>34</v>
      </c>
      <c r="B11" s="22"/>
      <c r="C11" s="22"/>
      <c r="D11" s="22"/>
      <c r="E11" s="22"/>
      <c r="F11" s="23"/>
      <c r="G11" s="52" t="s">
        <v>30</v>
      </c>
      <c r="H11" s="52" t="s">
        <v>35</v>
      </c>
      <c r="I11" s="53" t="s">
        <v>23</v>
      </c>
      <c r="J11" s="54" t="s">
        <v>24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5"/>
      <c r="AB11" s="53"/>
      <c r="AC11" s="53"/>
      <c r="AD11" s="53"/>
      <c r="AE11" s="53"/>
      <c r="AF11" s="53"/>
      <c r="AG11" s="56">
        <f t="shared" si="1"/>
        <v>1</v>
      </c>
      <c r="AH11" s="56">
        <f t="shared" si="2"/>
        <v>1</v>
      </c>
      <c r="AI11" s="57">
        <f t="shared" si="3"/>
        <v>1</v>
      </c>
    </row>
    <row r="12" ht="15.75" customHeight="1">
      <c r="A12" s="41" t="s">
        <v>36</v>
      </c>
      <c r="B12" s="13"/>
      <c r="C12" s="13"/>
      <c r="D12" s="13"/>
      <c r="E12" s="13"/>
      <c r="F12" s="14"/>
      <c r="G12" s="42" t="s">
        <v>37</v>
      </c>
      <c r="H12" s="42" t="s">
        <v>38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 t="s">
        <v>23</v>
      </c>
      <c r="Z12" s="58"/>
      <c r="AA12" s="47"/>
      <c r="AB12" s="58"/>
      <c r="AC12" s="58"/>
      <c r="AD12" s="58"/>
      <c r="AE12" s="58"/>
      <c r="AF12" s="58"/>
      <c r="AG12" s="48">
        <f t="shared" si="1"/>
        <v>1</v>
      </c>
      <c r="AH12" s="48">
        <f t="shared" si="2"/>
        <v>0</v>
      </c>
      <c r="AI12" s="49">
        <f t="shared" si="3"/>
        <v>0</v>
      </c>
    </row>
    <row r="13" ht="15.75" customHeight="1">
      <c r="A13" s="41" t="s">
        <v>39</v>
      </c>
      <c r="B13" s="13"/>
      <c r="C13" s="13"/>
      <c r="D13" s="13"/>
      <c r="E13" s="13"/>
      <c r="F13" s="14"/>
      <c r="G13" s="42" t="s">
        <v>30</v>
      </c>
      <c r="H13" s="42" t="s">
        <v>40</v>
      </c>
      <c r="I13" s="58"/>
      <c r="J13" s="58"/>
      <c r="K13" s="58"/>
      <c r="L13" s="58"/>
      <c r="M13" s="58" t="s">
        <v>23</v>
      </c>
      <c r="N13" s="59" t="s">
        <v>24</v>
      </c>
      <c r="O13" s="58"/>
      <c r="P13" s="58"/>
      <c r="Q13" s="58"/>
      <c r="R13" s="58"/>
      <c r="S13" s="58" t="s">
        <v>23</v>
      </c>
      <c r="T13" s="59" t="s">
        <v>24</v>
      </c>
      <c r="U13" s="58"/>
      <c r="V13" s="58"/>
      <c r="W13" s="58"/>
      <c r="X13" s="58"/>
      <c r="Y13" s="58" t="s">
        <v>23</v>
      </c>
      <c r="Z13" s="58"/>
      <c r="AA13" s="47"/>
      <c r="AB13" s="58"/>
      <c r="AC13" s="58"/>
      <c r="AD13" s="58"/>
      <c r="AE13" s="58" t="s">
        <v>23</v>
      </c>
      <c r="AF13" s="58"/>
      <c r="AG13" s="48">
        <f t="shared" si="1"/>
        <v>4</v>
      </c>
      <c r="AH13" s="48">
        <f t="shared" si="2"/>
        <v>2</v>
      </c>
      <c r="AI13" s="49">
        <f t="shared" si="3"/>
        <v>0.5</v>
      </c>
    </row>
    <row r="14" ht="15.75" customHeight="1">
      <c r="A14" s="41" t="s">
        <v>41</v>
      </c>
      <c r="B14" s="13"/>
      <c r="C14" s="13"/>
      <c r="D14" s="13"/>
      <c r="E14" s="13"/>
      <c r="F14" s="14"/>
      <c r="G14" s="42" t="s">
        <v>30</v>
      </c>
      <c r="H14" s="42" t="s">
        <v>42</v>
      </c>
      <c r="I14" s="58" t="s">
        <v>23</v>
      </c>
      <c r="J14" s="59" t="s">
        <v>24</v>
      </c>
      <c r="K14" s="58" t="s">
        <v>23</v>
      </c>
      <c r="L14" s="59" t="s">
        <v>24</v>
      </c>
      <c r="M14" s="58" t="s">
        <v>23</v>
      </c>
      <c r="N14" s="59" t="s">
        <v>24</v>
      </c>
      <c r="O14" s="58" t="s">
        <v>23</v>
      </c>
      <c r="P14" s="60" t="s">
        <v>24</v>
      </c>
      <c r="Q14" s="58" t="s">
        <v>23</v>
      </c>
      <c r="R14" s="59" t="s">
        <v>24</v>
      </c>
      <c r="S14" s="58" t="s">
        <v>23</v>
      </c>
      <c r="T14" s="59" t="s">
        <v>24</v>
      </c>
      <c r="U14" s="58" t="s">
        <v>23</v>
      </c>
      <c r="V14" s="59" t="s">
        <v>24</v>
      </c>
      <c r="W14" s="58" t="s">
        <v>23</v>
      </c>
      <c r="X14" s="58"/>
      <c r="Y14" s="58" t="s">
        <v>23</v>
      </c>
      <c r="Z14" s="58"/>
      <c r="AA14" s="47" t="s">
        <v>23</v>
      </c>
      <c r="AB14" s="58"/>
      <c r="AC14" s="58" t="s">
        <v>23</v>
      </c>
      <c r="AD14" s="58"/>
      <c r="AE14" s="58" t="s">
        <v>23</v>
      </c>
      <c r="AF14" s="58"/>
      <c r="AG14" s="48">
        <f t="shared" si="1"/>
        <v>12</v>
      </c>
      <c r="AH14" s="48">
        <f t="shared" si="2"/>
        <v>7</v>
      </c>
      <c r="AI14" s="49">
        <f t="shared" si="3"/>
        <v>0.5833333333</v>
      </c>
    </row>
    <row r="15" ht="15.75" customHeight="1">
      <c r="A15" s="41" t="s">
        <v>43</v>
      </c>
      <c r="B15" s="13"/>
      <c r="C15" s="13"/>
      <c r="D15" s="13"/>
      <c r="E15" s="13"/>
      <c r="F15" s="14"/>
      <c r="G15" s="42" t="s">
        <v>27</v>
      </c>
      <c r="H15" s="42" t="s">
        <v>28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 t="s">
        <v>23</v>
      </c>
      <c r="T15" s="59" t="s">
        <v>24</v>
      </c>
      <c r="U15" s="58"/>
      <c r="V15" s="58"/>
      <c r="W15" s="58"/>
      <c r="X15" s="58"/>
      <c r="Y15" s="58"/>
      <c r="Z15" s="58"/>
      <c r="AA15" s="47" t="s">
        <v>23</v>
      </c>
      <c r="AB15" s="58"/>
      <c r="AC15" s="58"/>
      <c r="AD15" s="58"/>
      <c r="AE15" s="58" t="s">
        <v>23</v>
      </c>
      <c r="AF15" s="58"/>
      <c r="AG15" s="48">
        <f t="shared" si="1"/>
        <v>3</v>
      </c>
      <c r="AH15" s="48">
        <f t="shared" si="2"/>
        <v>1</v>
      </c>
      <c r="AI15" s="49">
        <f t="shared" si="3"/>
        <v>0.3333333333</v>
      </c>
    </row>
    <row r="16" ht="27.0" customHeight="1">
      <c r="A16" s="41" t="s">
        <v>44</v>
      </c>
      <c r="B16" s="13"/>
      <c r="C16" s="13"/>
      <c r="D16" s="13"/>
      <c r="E16" s="13"/>
      <c r="F16" s="14"/>
      <c r="G16" s="42" t="s">
        <v>45</v>
      </c>
      <c r="H16" s="42" t="s">
        <v>46</v>
      </c>
      <c r="I16" s="58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 t="s">
        <v>23</v>
      </c>
      <c r="AB16" s="58"/>
      <c r="AC16" s="47"/>
      <c r="AD16" s="47"/>
      <c r="AE16" s="47"/>
      <c r="AF16" s="47"/>
      <c r="AG16" s="48">
        <f t="shared" si="1"/>
        <v>1</v>
      </c>
      <c r="AH16" s="48">
        <f t="shared" si="2"/>
        <v>0</v>
      </c>
      <c r="AI16" s="49">
        <f t="shared" si="3"/>
        <v>0</v>
      </c>
    </row>
    <row r="17" ht="15.75" customHeight="1">
      <c r="A17" s="41" t="s">
        <v>47</v>
      </c>
      <c r="B17" s="13"/>
      <c r="C17" s="13"/>
      <c r="D17" s="13"/>
      <c r="E17" s="13"/>
      <c r="F17" s="14"/>
      <c r="G17" s="42" t="s">
        <v>30</v>
      </c>
      <c r="H17" s="61" t="s">
        <v>48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 t="s">
        <v>23</v>
      </c>
      <c r="AD17" s="47"/>
      <c r="AE17" s="47"/>
      <c r="AF17" s="47"/>
      <c r="AG17" s="48">
        <f t="shared" si="1"/>
        <v>1</v>
      </c>
      <c r="AH17" s="48">
        <f t="shared" si="2"/>
        <v>0</v>
      </c>
      <c r="AI17" s="49">
        <f t="shared" si="3"/>
        <v>0</v>
      </c>
    </row>
    <row r="18" ht="15.75" customHeight="1">
      <c r="A18" s="41" t="s">
        <v>49</v>
      </c>
      <c r="B18" s="13"/>
      <c r="C18" s="13"/>
      <c r="D18" s="13"/>
      <c r="E18" s="13"/>
      <c r="F18" s="14"/>
      <c r="G18" s="42" t="s">
        <v>30</v>
      </c>
      <c r="H18" s="42" t="s">
        <v>31</v>
      </c>
      <c r="I18" s="58" t="s">
        <v>23</v>
      </c>
      <c r="J18" s="60" t="s">
        <v>24</v>
      </c>
      <c r="K18" s="58" t="s">
        <v>23</v>
      </c>
      <c r="L18" s="60" t="s">
        <v>24</v>
      </c>
      <c r="M18" s="58" t="s">
        <v>23</v>
      </c>
      <c r="N18" s="60" t="s">
        <v>24</v>
      </c>
      <c r="O18" s="58" t="s">
        <v>23</v>
      </c>
      <c r="P18" s="60" t="s">
        <v>24</v>
      </c>
      <c r="Q18" s="58" t="s">
        <v>23</v>
      </c>
      <c r="R18" s="60" t="s">
        <v>24</v>
      </c>
      <c r="S18" s="58" t="s">
        <v>23</v>
      </c>
      <c r="T18" s="60" t="s">
        <v>24</v>
      </c>
      <c r="U18" s="58" t="s">
        <v>23</v>
      </c>
      <c r="V18" s="60" t="s">
        <v>24</v>
      </c>
      <c r="W18" s="58" t="s">
        <v>23</v>
      </c>
      <c r="X18" s="47"/>
      <c r="Y18" s="58" t="s">
        <v>23</v>
      </c>
      <c r="Z18" s="47"/>
      <c r="AA18" s="47" t="s">
        <v>23</v>
      </c>
      <c r="AB18" s="47"/>
      <c r="AC18" s="47" t="s">
        <v>23</v>
      </c>
      <c r="AD18" s="47"/>
      <c r="AE18" s="58" t="s">
        <v>23</v>
      </c>
      <c r="AF18" s="47"/>
      <c r="AG18" s="48">
        <f t="shared" si="1"/>
        <v>12</v>
      </c>
      <c r="AH18" s="48">
        <f t="shared" si="2"/>
        <v>7</v>
      </c>
      <c r="AI18" s="49">
        <f t="shared" si="3"/>
        <v>0.5833333333</v>
      </c>
    </row>
    <row r="19" ht="15.75" customHeight="1">
      <c r="A19" s="41" t="s">
        <v>50</v>
      </c>
      <c r="B19" s="13"/>
      <c r="C19" s="13"/>
      <c r="D19" s="13"/>
      <c r="E19" s="13"/>
      <c r="F19" s="14"/>
      <c r="G19" s="42" t="s">
        <v>30</v>
      </c>
      <c r="H19" s="42" t="s">
        <v>31</v>
      </c>
      <c r="I19" s="58" t="s">
        <v>23</v>
      </c>
      <c r="J19" s="60" t="s">
        <v>24</v>
      </c>
      <c r="K19" s="58" t="s">
        <v>23</v>
      </c>
      <c r="L19" s="60" t="s">
        <v>24</v>
      </c>
      <c r="M19" s="58" t="s">
        <v>23</v>
      </c>
      <c r="N19" s="60" t="s">
        <v>24</v>
      </c>
      <c r="O19" s="58" t="s">
        <v>23</v>
      </c>
      <c r="P19" s="60" t="s">
        <v>24</v>
      </c>
      <c r="Q19" s="58" t="s">
        <v>23</v>
      </c>
      <c r="R19" s="60" t="s">
        <v>24</v>
      </c>
      <c r="S19" s="58" t="s">
        <v>23</v>
      </c>
      <c r="T19" s="60" t="s">
        <v>24</v>
      </c>
      <c r="U19" s="58" t="s">
        <v>23</v>
      </c>
      <c r="V19" s="60" t="s">
        <v>24</v>
      </c>
      <c r="W19" s="58" t="s">
        <v>23</v>
      </c>
      <c r="X19" s="47"/>
      <c r="Y19" s="58" t="s">
        <v>23</v>
      </c>
      <c r="Z19" s="47"/>
      <c r="AA19" s="47" t="s">
        <v>23</v>
      </c>
      <c r="AB19" s="47"/>
      <c r="AC19" s="47" t="s">
        <v>23</v>
      </c>
      <c r="AD19" s="47"/>
      <c r="AE19" s="58" t="s">
        <v>23</v>
      </c>
      <c r="AF19" s="47"/>
      <c r="AG19" s="48">
        <f t="shared" si="1"/>
        <v>12</v>
      </c>
      <c r="AH19" s="48">
        <f t="shared" si="2"/>
        <v>7</v>
      </c>
      <c r="AI19" s="49">
        <f t="shared" si="3"/>
        <v>0.5833333333</v>
      </c>
    </row>
    <row r="20" ht="24.0" customHeight="1">
      <c r="A20" s="41" t="s">
        <v>51</v>
      </c>
      <c r="B20" s="13"/>
      <c r="C20" s="13"/>
      <c r="D20" s="13"/>
      <c r="E20" s="13"/>
      <c r="F20" s="14"/>
      <c r="G20" s="42" t="s">
        <v>30</v>
      </c>
      <c r="H20" s="42" t="s">
        <v>31</v>
      </c>
      <c r="I20" s="58" t="s">
        <v>23</v>
      </c>
      <c r="J20" s="47"/>
      <c r="K20" s="58"/>
      <c r="L20" s="47"/>
      <c r="M20" s="58"/>
      <c r="N20" s="47"/>
      <c r="O20" s="58"/>
      <c r="P20" s="47"/>
      <c r="Q20" s="58"/>
      <c r="R20" s="47"/>
      <c r="S20" s="58"/>
      <c r="T20" s="47"/>
      <c r="U20" s="58"/>
      <c r="V20" s="47"/>
      <c r="W20" s="58"/>
      <c r="X20" s="47"/>
      <c r="Y20" s="58"/>
      <c r="Z20" s="47"/>
      <c r="AA20" s="47"/>
      <c r="AB20" s="47"/>
      <c r="AC20" s="47"/>
      <c r="AD20" s="47"/>
      <c r="AE20" s="58"/>
      <c r="AF20" s="47"/>
      <c r="AG20" s="48"/>
      <c r="AH20" s="48"/>
      <c r="AI20" s="49"/>
    </row>
    <row r="21" ht="23.25" customHeight="1">
      <c r="A21" s="41" t="s">
        <v>52</v>
      </c>
      <c r="B21" s="13"/>
      <c r="C21" s="13"/>
      <c r="D21" s="13"/>
      <c r="E21" s="13"/>
      <c r="F21" s="14"/>
      <c r="G21" s="42" t="s">
        <v>30</v>
      </c>
      <c r="H21" s="42" t="s">
        <v>31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 t="s">
        <v>23</v>
      </c>
      <c r="AF21" s="47"/>
      <c r="AG21" s="48">
        <f t="shared" ref="AG21:AG22" si="4">COUNTIF(I21:AF21,"P")</f>
        <v>1</v>
      </c>
      <c r="AH21" s="48">
        <f t="shared" ref="AH21:AH22" si="5">COUNTIF(I21:AF21,"E")</f>
        <v>0</v>
      </c>
      <c r="AI21" s="49">
        <f t="shared" ref="AI21:AI22" si="6">AH21/AG21*100</f>
        <v>0</v>
      </c>
    </row>
    <row r="22" ht="15.75" customHeight="1">
      <c r="A22" s="51" t="s">
        <v>53</v>
      </c>
      <c r="B22" s="22"/>
      <c r="C22" s="22"/>
      <c r="D22" s="22"/>
      <c r="E22" s="22"/>
      <c r="F22" s="23"/>
      <c r="G22" s="52" t="s">
        <v>30</v>
      </c>
      <c r="H22" s="52" t="s">
        <v>31</v>
      </c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 t="s">
        <v>23</v>
      </c>
      <c r="AF22" s="62"/>
      <c r="AG22" s="56">
        <f t="shared" si="4"/>
        <v>1</v>
      </c>
      <c r="AH22" s="56">
        <f t="shared" si="5"/>
        <v>0</v>
      </c>
      <c r="AI22" s="57">
        <f t="shared" si="6"/>
        <v>0</v>
      </c>
    </row>
    <row r="23" ht="27.75" customHeight="1">
      <c r="A23" s="41" t="s">
        <v>54</v>
      </c>
      <c r="B23" s="13"/>
      <c r="C23" s="13"/>
      <c r="D23" s="13"/>
      <c r="E23" s="13"/>
      <c r="F23" s="14"/>
      <c r="G23" s="42" t="s">
        <v>55</v>
      </c>
      <c r="H23" s="42" t="s">
        <v>31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 t="s">
        <v>56</v>
      </c>
      <c r="X23" s="47"/>
      <c r="Y23" s="47"/>
      <c r="Z23" s="47"/>
      <c r="AA23" s="47"/>
      <c r="AB23" s="47"/>
      <c r="AC23" s="47" t="s">
        <v>23</v>
      </c>
      <c r="AD23" s="47"/>
      <c r="AE23" s="47"/>
      <c r="AF23" s="47"/>
      <c r="AG23" s="48">
        <f t="shared" ref="AG23:AG25" si="7">COUNTIF(I23:AF23,"p")</f>
        <v>2</v>
      </c>
      <c r="AH23" s="48">
        <f t="shared" ref="AH23:AH25" si="8">COUNTIF(I23:AF23,"e")</f>
        <v>0</v>
      </c>
      <c r="AI23" s="63">
        <f t="shared" ref="AI23:AI25" si="9">AH23/AG23</f>
        <v>0</v>
      </c>
    </row>
    <row r="24" ht="15.75" customHeight="1">
      <c r="A24" s="41" t="s">
        <v>57</v>
      </c>
      <c r="B24" s="13"/>
      <c r="C24" s="13"/>
      <c r="D24" s="13"/>
      <c r="E24" s="13"/>
      <c r="F24" s="14"/>
      <c r="G24" s="42" t="s">
        <v>55</v>
      </c>
      <c r="H24" s="42" t="s">
        <v>31</v>
      </c>
      <c r="I24" s="47" t="s">
        <v>23</v>
      </c>
      <c r="J24" s="60" t="s">
        <v>24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8">
        <f t="shared" si="7"/>
        <v>1</v>
      </c>
      <c r="AH24" s="48">
        <f t="shared" si="8"/>
        <v>1</v>
      </c>
      <c r="AI24" s="63">
        <f t="shared" si="9"/>
        <v>1</v>
      </c>
    </row>
    <row r="25" ht="15.75" customHeight="1">
      <c r="A25" s="41" t="s">
        <v>58</v>
      </c>
      <c r="B25" s="13"/>
      <c r="C25" s="13"/>
      <c r="D25" s="13"/>
      <c r="E25" s="13"/>
      <c r="F25" s="14"/>
      <c r="G25" s="42" t="s">
        <v>55</v>
      </c>
      <c r="H25" s="42" t="s">
        <v>31</v>
      </c>
      <c r="I25" s="47"/>
      <c r="J25" s="47"/>
      <c r="K25" s="47" t="s">
        <v>23</v>
      </c>
      <c r="L25" s="60" t="s">
        <v>24</v>
      </c>
      <c r="M25" s="47"/>
      <c r="N25" s="47"/>
      <c r="O25" s="47"/>
      <c r="P25" s="47"/>
      <c r="Q25" s="47" t="s">
        <v>23</v>
      </c>
      <c r="R25" s="60" t="s">
        <v>24</v>
      </c>
      <c r="S25" s="47"/>
      <c r="T25" s="47"/>
      <c r="U25" s="47"/>
      <c r="V25" s="47"/>
      <c r="W25" s="47" t="s">
        <v>23</v>
      </c>
      <c r="X25" s="47"/>
      <c r="Y25" s="47"/>
      <c r="Z25" s="47"/>
      <c r="AA25" s="47"/>
      <c r="AB25" s="47"/>
      <c r="AC25" s="47" t="s">
        <v>23</v>
      </c>
      <c r="AD25" s="47"/>
      <c r="AE25" s="47"/>
      <c r="AF25" s="47"/>
      <c r="AG25" s="48">
        <f t="shared" si="7"/>
        <v>4</v>
      </c>
      <c r="AH25" s="48">
        <f t="shared" si="8"/>
        <v>2</v>
      </c>
      <c r="AI25" s="63">
        <f t="shared" si="9"/>
        <v>0.5</v>
      </c>
    </row>
    <row r="26" ht="24.75" customHeight="1">
      <c r="A26" s="41" t="s">
        <v>59</v>
      </c>
      <c r="B26" s="13"/>
      <c r="C26" s="13"/>
      <c r="D26" s="13"/>
      <c r="E26" s="13"/>
      <c r="F26" s="14"/>
      <c r="G26" s="42" t="s">
        <v>55</v>
      </c>
      <c r="H26" s="42" t="s">
        <v>60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5"/>
      <c r="AH26" s="65"/>
      <c r="AI26" s="66"/>
    </row>
    <row r="27" ht="24.75" customHeight="1">
      <c r="A27" s="41" t="s">
        <v>61</v>
      </c>
      <c r="B27" s="13"/>
      <c r="C27" s="13"/>
      <c r="D27" s="13"/>
      <c r="E27" s="13"/>
      <c r="F27" s="14"/>
      <c r="G27" s="67"/>
      <c r="H27" s="67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5"/>
      <c r="AH27" s="65"/>
      <c r="AI27" s="66"/>
    </row>
    <row r="28" ht="27.75" customHeight="1">
      <c r="A28" s="51" t="s">
        <v>62</v>
      </c>
      <c r="B28" s="22"/>
      <c r="C28" s="22"/>
      <c r="D28" s="22"/>
      <c r="E28" s="22"/>
      <c r="F28" s="23"/>
      <c r="G28" s="52" t="s">
        <v>55</v>
      </c>
      <c r="H28" s="52" t="s">
        <v>31</v>
      </c>
      <c r="I28" s="62"/>
      <c r="J28" s="62"/>
      <c r="K28" s="62"/>
      <c r="L28" s="62"/>
      <c r="M28" s="62"/>
      <c r="N28" s="62"/>
      <c r="O28" s="62" t="s">
        <v>23</v>
      </c>
      <c r="P28" s="68" t="s">
        <v>24</v>
      </c>
      <c r="Q28" s="62"/>
      <c r="R28" s="62"/>
      <c r="S28" s="62"/>
      <c r="T28" s="62"/>
      <c r="U28" s="62"/>
      <c r="V28" s="62"/>
      <c r="W28" s="62"/>
      <c r="X28" s="62"/>
      <c r="Y28" s="62" t="s">
        <v>23</v>
      </c>
      <c r="Z28" s="62"/>
      <c r="AA28" s="62"/>
      <c r="AB28" s="62"/>
      <c r="AC28" s="62"/>
      <c r="AD28" s="62"/>
      <c r="AE28" s="62"/>
      <c r="AF28" s="62"/>
      <c r="AG28" s="56">
        <f>COUNTIF(I28:AF28,"p")</f>
        <v>2</v>
      </c>
      <c r="AH28" s="56">
        <f>COUNTIF(I28:AF28,"e")</f>
        <v>1</v>
      </c>
      <c r="AI28" s="69">
        <f t="shared" ref="AI28:AI29" si="11">AH28/AG28</f>
        <v>0.5</v>
      </c>
    </row>
    <row r="29" ht="15.75" customHeight="1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2"/>
      <c r="AG29" s="73">
        <f t="shared" ref="AG29:AH29" si="10">SUM(AG23:AG28)</f>
        <v>9</v>
      </c>
      <c r="AH29" s="73">
        <f t="shared" si="10"/>
        <v>4</v>
      </c>
      <c r="AI29" s="74">
        <f t="shared" si="11"/>
        <v>0.4444444444</v>
      </c>
    </row>
    <row r="30" ht="15.75" customHeight="1">
      <c r="A30" s="75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3"/>
      <c r="AG30" s="76" t="str">
        <f t="shared" ref="AG30:AH30" si="12">SUM(#REF!)</f>
        <v>#REF!</v>
      </c>
      <c r="AH30" s="76" t="str">
        <f t="shared" si="12"/>
        <v>#REF!</v>
      </c>
      <c r="AI30" s="77" t="str">
        <f>+AH30/AG30</f>
        <v>#REF!</v>
      </c>
      <c r="AJ30" s="78" t="str">
        <f>(#REF!+#REF!+#REF!+#REF!+#REF!+AI29+AI30)/7</f>
        <v>#REF!</v>
      </c>
    </row>
    <row r="31" ht="15.75" customHeight="1">
      <c r="A31" s="79" t="s">
        <v>63</v>
      </c>
      <c r="B31" s="79"/>
      <c r="C31" s="79" t="s">
        <v>64</v>
      </c>
      <c r="D31" s="79"/>
      <c r="E31" s="79"/>
      <c r="F31" s="79"/>
      <c r="G31" s="80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81" t="str">
        <f t="shared" ref="AG31:AH31" si="13">SUM(#REF!+#REF!+#REF!+#REF!+#REF!+AG29+AG30)</f>
        <v>#REF!</v>
      </c>
      <c r="AH31" s="81" t="str">
        <f t="shared" si="13"/>
        <v>#REF!</v>
      </c>
      <c r="AI31" s="79"/>
      <c r="AL31" s="82" t="s">
        <v>65</v>
      </c>
      <c r="AM31" s="82" t="s">
        <v>66</v>
      </c>
      <c r="AN31" s="82" t="s">
        <v>67</v>
      </c>
      <c r="AO31" s="82" t="s">
        <v>68</v>
      </c>
      <c r="AP31" s="82" t="s">
        <v>69</v>
      </c>
    </row>
    <row r="32" ht="23.25" customHeight="1">
      <c r="A32" s="83" t="s">
        <v>70</v>
      </c>
      <c r="B32" s="2"/>
      <c r="C32" s="2"/>
      <c r="D32" s="2"/>
      <c r="E32" s="2"/>
      <c r="F32" s="2"/>
      <c r="G32" s="84"/>
      <c r="H32" s="85" t="s">
        <v>71</v>
      </c>
      <c r="I32" s="86" t="s">
        <v>10</v>
      </c>
      <c r="J32" s="14"/>
      <c r="K32" s="86" t="s">
        <v>11</v>
      </c>
      <c r="L32" s="14"/>
      <c r="M32" s="86" t="s">
        <v>12</v>
      </c>
      <c r="N32" s="14"/>
      <c r="O32" s="86" t="s">
        <v>13</v>
      </c>
      <c r="P32" s="14"/>
      <c r="Q32" s="86" t="s">
        <v>14</v>
      </c>
      <c r="R32" s="14"/>
      <c r="S32" s="86" t="s">
        <v>15</v>
      </c>
      <c r="T32" s="14"/>
      <c r="U32" s="86" t="s">
        <v>16</v>
      </c>
      <c r="V32" s="14"/>
      <c r="W32" s="86" t="s">
        <v>17</v>
      </c>
      <c r="X32" s="14"/>
      <c r="Y32" s="86" t="s">
        <v>18</v>
      </c>
      <c r="Z32" s="14"/>
      <c r="AA32" s="86" t="s">
        <v>19</v>
      </c>
      <c r="AB32" s="14"/>
      <c r="AC32" s="86" t="s">
        <v>20</v>
      </c>
      <c r="AD32" s="14"/>
      <c r="AE32" s="86" t="s">
        <v>21</v>
      </c>
      <c r="AF32" s="14"/>
      <c r="AG32" s="87"/>
      <c r="AL32" s="82">
        <v>50.0</v>
      </c>
      <c r="AM32" s="82">
        <v>15.0</v>
      </c>
      <c r="AN32" s="82">
        <v>15.0</v>
      </c>
      <c r="AO32" s="82">
        <v>20.0</v>
      </c>
      <c r="AP32" s="82">
        <f>SUM(AL32:AO32)</f>
        <v>100</v>
      </c>
    </row>
    <row r="33" ht="23.25" customHeight="1">
      <c r="A33" s="88"/>
      <c r="B33" s="89"/>
      <c r="C33" s="89"/>
      <c r="D33" s="89"/>
      <c r="E33" s="90"/>
      <c r="G33" s="91"/>
      <c r="H33" s="92" t="s">
        <v>72</v>
      </c>
      <c r="I33" s="93">
        <f>COUNTIF(I8:I29,"P")</f>
        <v>6</v>
      </c>
      <c r="J33" s="14"/>
      <c r="K33" s="93">
        <f>COUNTIF(K8:K29,"P")</f>
        <v>5</v>
      </c>
      <c r="L33" s="14"/>
      <c r="M33" s="93">
        <f>COUNTIF(M8:M29,"P")</f>
        <v>4</v>
      </c>
      <c r="N33" s="14"/>
      <c r="O33" s="93">
        <f>COUNTIF(O8:O29,"P")</f>
        <v>5</v>
      </c>
      <c r="P33" s="14"/>
      <c r="Q33" s="93">
        <f>COUNTIF(Q8:Q29,"P")</f>
        <v>4</v>
      </c>
      <c r="R33" s="14"/>
      <c r="S33" s="93">
        <f>COUNTIF(S8:S29,"P")</f>
        <v>6</v>
      </c>
      <c r="T33" s="14"/>
      <c r="U33" s="93">
        <f>COUNTIF(U8:U29,"P")</f>
        <v>3</v>
      </c>
      <c r="V33" s="14"/>
      <c r="W33" s="93">
        <f>COUNTIF(W8:W29,"P")</f>
        <v>6</v>
      </c>
      <c r="X33" s="14"/>
      <c r="Y33" s="93">
        <f>COUNTIF(Y8:Y29,"P")</f>
        <v>8</v>
      </c>
      <c r="Z33" s="14"/>
      <c r="AA33" s="93">
        <f>COUNTIF(AA8:AA29,"P")</f>
        <v>6</v>
      </c>
      <c r="AB33" s="14"/>
      <c r="AC33" s="93">
        <f>COUNTIF(AC8:AC29,"P")</f>
        <v>6</v>
      </c>
      <c r="AD33" s="14"/>
      <c r="AE33" s="93">
        <f>COUNTIF(AE8:AE29,"P")</f>
        <v>8</v>
      </c>
      <c r="AF33" s="14"/>
      <c r="AG33" s="16"/>
    </row>
    <row r="34" ht="24.0" customHeight="1">
      <c r="A34" s="94" t="s">
        <v>73</v>
      </c>
      <c r="B34" s="18"/>
      <c r="C34" s="18"/>
      <c r="D34" s="18"/>
      <c r="E34" s="18"/>
      <c r="F34" s="95"/>
      <c r="G34" s="96"/>
      <c r="H34" s="92" t="s">
        <v>74</v>
      </c>
      <c r="I34" s="93">
        <f>COUNTIF(J8:J29,"E")</f>
        <v>5</v>
      </c>
      <c r="J34" s="14"/>
      <c r="K34" s="93">
        <f>COUNTIF(L8:L29,"E")</f>
        <v>5</v>
      </c>
      <c r="L34" s="14"/>
      <c r="M34" s="93">
        <f>COUNTIF(N8:N29,"E")</f>
        <v>4</v>
      </c>
      <c r="N34" s="14"/>
      <c r="O34" s="93">
        <f>COUNTIF(P8:P29,"E")</f>
        <v>5</v>
      </c>
      <c r="P34" s="14"/>
      <c r="Q34" s="93">
        <f>COUNTIF(R8:R29,"E")</f>
        <v>4</v>
      </c>
      <c r="R34" s="14"/>
      <c r="S34" s="93">
        <f>COUNTIF(T8:T29,"E")</f>
        <v>6</v>
      </c>
      <c r="T34" s="14"/>
      <c r="U34" s="93">
        <f>COUNTIF(V8:V29,"E")</f>
        <v>3</v>
      </c>
      <c r="V34" s="14"/>
      <c r="W34" s="93">
        <f>COUNTIF(X8:X29,"E")</f>
        <v>0</v>
      </c>
      <c r="X34" s="14"/>
      <c r="Y34" s="93">
        <f>COUNTIF(Z8:Z29,"E")</f>
        <v>0</v>
      </c>
      <c r="Z34" s="14"/>
      <c r="AA34" s="93">
        <f>COUNTIF(AB8:AB29,"E")</f>
        <v>0</v>
      </c>
      <c r="AB34" s="14"/>
      <c r="AC34" s="93">
        <f>COUNTIF(AD8:AD29,"E")</f>
        <v>0</v>
      </c>
      <c r="AD34" s="14"/>
      <c r="AE34" s="93">
        <f>COUNTIF(AF8:AF29,"E")</f>
        <v>0</v>
      </c>
      <c r="AF34" s="14"/>
      <c r="AG34" s="16"/>
      <c r="AL34" s="82" t="s">
        <v>75</v>
      </c>
      <c r="AM34" s="82" t="s">
        <v>76</v>
      </c>
      <c r="AN34" s="82" t="s">
        <v>77</v>
      </c>
      <c r="AO34" s="82" t="s">
        <v>78</v>
      </c>
    </row>
    <row r="35" ht="24.0" customHeight="1">
      <c r="A35" s="90"/>
      <c r="G35" s="8"/>
      <c r="H35" s="47" t="s">
        <v>79</v>
      </c>
      <c r="I35" s="97">
        <f>I34/I33</f>
        <v>0.8333333333</v>
      </c>
      <c r="J35" s="14"/>
      <c r="K35" s="97">
        <f>K34/K33</f>
        <v>1</v>
      </c>
      <c r="L35" s="14"/>
      <c r="M35" s="97">
        <f>M34/M33</f>
        <v>1</v>
      </c>
      <c r="N35" s="14"/>
      <c r="O35" s="97">
        <f>O34/O33</f>
        <v>1</v>
      </c>
      <c r="P35" s="14"/>
      <c r="Q35" s="97">
        <f>Q34/Q33</f>
        <v>1</v>
      </c>
      <c r="R35" s="14"/>
      <c r="S35" s="97">
        <f>S34/S33</f>
        <v>1</v>
      </c>
      <c r="T35" s="14"/>
      <c r="U35" s="97">
        <f>U34/U33</f>
        <v>1</v>
      </c>
      <c r="V35" s="14"/>
      <c r="W35" s="97">
        <f>W34/W33</f>
        <v>0</v>
      </c>
      <c r="X35" s="14"/>
      <c r="Y35" s="97">
        <f>Y34/Y33</f>
        <v>0</v>
      </c>
      <c r="Z35" s="14"/>
      <c r="AA35" s="97">
        <f>AA34/AA33</f>
        <v>0</v>
      </c>
      <c r="AB35" s="14"/>
      <c r="AC35" s="97">
        <f>AC34/AC33</f>
        <v>0</v>
      </c>
      <c r="AD35" s="14"/>
      <c r="AE35" s="97">
        <f>AE34/AE33</f>
        <v>0</v>
      </c>
      <c r="AF35" s="14"/>
      <c r="AG35" s="16"/>
      <c r="AL35" s="82">
        <v>179.0</v>
      </c>
      <c r="AM35" s="82" t="str">
        <f>AH31/AG31*100</f>
        <v>#REF!</v>
      </c>
      <c r="AN35" s="82">
        <v>2.0</v>
      </c>
      <c r="AO35" s="82" t="str">
        <f>SUM(AL32:AP32)-AM35-AN35</f>
        <v>#REF!</v>
      </c>
    </row>
    <row r="36" ht="23.25" customHeight="1">
      <c r="A36" s="83" t="s">
        <v>80</v>
      </c>
      <c r="B36" s="2"/>
      <c r="C36" s="2"/>
      <c r="D36" s="2"/>
      <c r="E36" s="2"/>
      <c r="F36" s="2"/>
      <c r="G36" s="84"/>
      <c r="H36" s="92" t="s">
        <v>81</v>
      </c>
      <c r="I36" s="98">
        <f t="shared" ref="I36:I37" si="14">I33</f>
        <v>6</v>
      </c>
      <c r="J36" s="14"/>
      <c r="K36" s="98">
        <f t="shared" ref="K36:K37" si="15">I36+K33</f>
        <v>11</v>
      </c>
      <c r="L36" s="14"/>
      <c r="M36" s="99">
        <f t="shared" ref="M36:M37" si="16">K36+M33</f>
        <v>15</v>
      </c>
      <c r="N36" s="14"/>
      <c r="O36" s="98">
        <f t="shared" ref="O36:O37" si="17">M36+O33</f>
        <v>20</v>
      </c>
      <c r="P36" s="14"/>
      <c r="Q36" s="98">
        <f t="shared" ref="Q36:Q37" si="18">O36+Q33</f>
        <v>24</v>
      </c>
      <c r="R36" s="14"/>
      <c r="S36" s="99">
        <f t="shared" ref="S36:S37" si="19">Q36+S33</f>
        <v>30</v>
      </c>
      <c r="T36" s="14"/>
      <c r="U36" s="98">
        <f t="shared" ref="U36:U37" si="20">S36+U33</f>
        <v>33</v>
      </c>
      <c r="V36" s="14"/>
      <c r="W36" s="98">
        <f t="shared" ref="W36:W37" si="21">U36+W33</f>
        <v>39</v>
      </c>
      <c r="X36" s="14"/>
      <c r="Y36" s="99">
        <f t="shared" ref="Y36:Y37" si="22">W36+Y33</f>
        <v>47</v>
      </c>
      <c r="Z36" s="14"/>
      <c r="AA36" s="98">
        <f t="shared" ref="AA36:AA37" si="23">Y36+AA33</f>
        <v>53</v>
      </c>
      <c r="AB36" s="14"/>
      <c r="AC36" s="98">
        <f t="shared" ref="AC36:AC37" si="24">AA36+AC33</f>
        <v>59</v>
      </c>
      <c r="AD36" s="14"/>
      <c r="AE36" s="99">
        <f t="shared" ref="AE36:AE37" si="25">AC36+AE33</f>
        <v>67</v>
      </c>
      <c r="AF36" s="14"/>
      <c r="AG36" s="16"/>
    </row>
    <row r="37" ht="23.25" customHeight="1">
      <c r="A37" s="100"/>
      <c r="E37" s="101"/>
      <c r="F37" s="101"/>
      <c r="G37" s="102"/>
      <c r="H37" s="92" t="s">
        <v>82</v>
      </c>
      <c r="I37" s="98">
        <f t="shared" si="14"/>
        <v>5</v>
      </c>
      <c r="J37" s="14"/>
      <c r="K37" s="98">
        <f t="shared" si="15"/>
        <v>10</v>
      </c>
      <c r="L37" s="14"/>
      <c r="M37" s="99">
        <f t="shared" si="16"/>
        <v>14</v>
      </c>
      <c r="N37" s="14"/>
      <c r="O37" s="98">
        <f t="shared" si="17"/>
        <v>19</v>
      </c>
      <c r="P37" s="14"/>
      <c r="Q37" s="98">
        <f t="shared" si="18"/>
        <v>23</v>
      </c>
      <c r="R37" s="14"/>
      <c r="S37" s="99">
        <f t="shared" si="19"/>
        <v>29</v>
      </c>
      <c r="T37" s="14"/>
      <c r="U37" s="98">
        <f t="shared" si="20"/>
        <v>32</v>
      </c>
      <c r="V37" s="14"/>
      <c r="W37" s="98">
        <f t="shared" si="21"/>
        <v>32</v>
      </c>
      <c r="X37" s="14"/>
      <c r="Y37" s="99">
        <f t="shared" si="22"/>
        <v>32</v>
      </c>
      <c r="Z37" s="14"/>
      <c r="AA37" s="98">
        <f t="shared" si="23"/>
        <v>32</v>
      </c>
      <c r="AB37" s="14"/>
      <c r="AC37" s="98">
        <f t="shared" si="24"/>
        <v>32</v>
      </c>
      <c r="AD37" s="14"/>
      <c r="AE37" s="99">
        <f t="shared" si="25"/>
        <v>32</v>
      </c>
      <c r="AF37" s="14"/>
      <c r="AG37" s="16"/>
    </row>
    <row r="38" ht="24.0" customHeight="1">
      <c r="A38" s="103" t="s">
        <v>83</v>
      </c>
      <c r="B38" s="18"/>
      <c r="C38" s="18"/>
      <c r="D38" s="18"/>
      <c r="E38" s="18"/>
      <c r="F38" s="104"/>
      <c r="G38" s="105"/>
      <c r="H38" s="106" t="s">
        <v>84</v>
      </c>
      <c r="I38" s="107">
        <f>+I37/I36</f>
        <v>0.8333333333</v>
      </c>
      <c r="J38" s="11"/>
      <c r="K38" s="107">
        <f>+K37/K36</f>
        <v>0.9090909091</v>
      </c>
      <c r="L38" s="11"/>
      <c r="M38" s="107">
        <f>+M37/M36</f>
        <v>0.9333333333</v>
      </c>
      <c r="N38" s="11"/>
      <c r="O38" s="107">
        <f>+O37/O36</f>
        <v>0.95</v>
      </c>
      <c r="P38" s="11"/>
      <c r="Q38" s="107">
        <f>+Q37/Q36</f>
        <v>0.9583333333</v>
      </c>
      <c r="R38" s="11"/>
      <c r="S38" s="107">
        <f>+S37/S36</f>
        <v>0.9666666667</v>
      </c>
      <c r="T38" s="11"/>
      <c r="U38" s="107">
        <f>+U37/U36</f>
        <v>0.9696969697</v>
      </c>
      <c r="V38" s="11"/>
      <c r="W38" s="107">
        <f>+W37/W36</f>
        <v>0.8205128205</v>
      </c>
      <c r="X38" s="11"/>
      <c r="Y38" s="107">
        <f>+Y37/Y36</f>
        <v>0.6808510638</v>
      </c>
      <c r="Z38" s="11"/>
      <c r="AA38" s="107">
        <f>+AA37/AA36</f>
        <v>0.6037735849</v>
      </c>
      <c r="AB38" s="11"/>
      <c r="AC38" s="107">
        <f>+AC37/AC36</f>
        <v>0.5423728814</v>
      </c>
      <c r="AD38" s="11"/>
      <c r="AE38" s="107">
        <f>+AE37/AE36</f>
        <v>0.4776119403</v>
      </c>
      <c r="AF38" s="11"/>
      <c r="AG38" s="16"/>
    </row>
    <row r="39" ht="15.75" customHeight="1">
      <c r="A39" s="10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09"/>
    </row>
    <row r="40" ht="15.75" customHeight="1">
      <c r="G40" s="80"/>
    </row>
    <row r="41" ht="15.75" customHeight="1">
      <c r="G41" s="80"/>
    </row>
    <row r="42" ht="15.75" customHeight="1">
      <c r="G42" s="80"/>
    </row>
    <row r="43" ht="15.75" customHeight="1">
      <c r="G43" s="80"/>
    </row>
    <row r="44" ht="15.75" customHeight="1">
      <c r="G44" s="80"/>
    </row>
    <row r="45" ht="15.75" customHeight="1">
      <c r="G45" s="80"/>
    </row>
    <row r="46" ht="15.75" customHeight="1">
      <c r="G46" s="80"/>
    </row>
    <row r="47" ht="15.75" customHeight="1">
      <c r="G47" s="80"/>
    </row>
    <row r="48" ht="15.75" customHeight="1">
      <c r="G48" s="80"/>
    </row>
    <row r="49" ht="15.75" customHeight="1">
      <c r="G49" s="80"/>
    </row>
    <row r="50" ht="15.75" customHeight="1">
      <c r="G50" s="80"/>
    </row>
    <row r="51" ht="15.75" customHeight="1">
      <c r="G51" s="80"/>
    </row>
    <row r="52" ht="15.75" customHeight="1">
      <c r="G52" s="80"/>
    </row>
    <row r="53" ht="15.75" customHeight="1">
      <c r="G53" s="80"/>
    </row>
    <row r="54" ht="15.75" customHeight="1">
      <c r="G54" s="80"/>
    </row>
    <row r="55" ht="15.75" customHeight="1">
      <c r="G55" s="80"/>
    </row>
    <row r="56" ht="15.75" customHeight="1">
      <c r="G56" s="80"/>
    </row>
    <row r="57" ht="15.75" customHeight="1">
      <c r="G57" s="80"/>
    </row>
    <row r="58" ht="15.75" customHeight="1">
      <c r="G58" s="80"/>
    </row>
    <row r="59" ht="15.75" customHeight="1">
      <c r="G59" s="80"/>
    </row>
    <row r="60" ht="15.75" customHeight="1">
      <c r="G60" s="80"/>
    </row>
    <row r="61" ht="15.75" customHeight="1">
      <c r="G61" s="80"/>
    </row>
    <row r="62" ht="15.75" customHeight="1">
      <c r="G62" s="80"/>
    </row>
    <row r="63" ht="15.75" customHeight="1">
      <c r="G63" s="80"/>
    </row>
    <row r="64" ht="15.75" customHeight="1">
      <c r="G64" s="80"/>
    </row>
    <row r="65" ht="15.75" customHeight="1">
      <c r="G65" s="80"/>
    </row>
    <row r="66" ht="15.75" customHeight="1">
      <c r="G66" s="80"/>
    </row>
    <row r="67" ht="15.75" customHeight="1">
      <c r="G67" s="80"/>
    </row>
    <row r="68" ht="15.75" customHeight="1">
      <c r="G68" s="80"/>
    </row>
    <row r="69" ht="15.75" customHeight="1">
      <c r="G69" s="80"/>
    </row>
    <row r="70" ht="15.75" customHeight="1">
      <c r="G70" s="80"/>
    </row>
    <row r="71" ht="15.75" customHeight="1">
      <c r="G71" s="80"/>
    </row>
    <row r="72" ht="15.75" customHeight="1">
      <c r="G72" s="80"/>
    </row>
    <row r="73" ht="15.75" customHeight="1">
      <c r="G73" s="80"/>
    </row>
    <row r="74" ht="15.75" customHeight="1">
      <c r="G74" s="80"/>
    </row>
    <row r="75" ht="15.75" customHeight="1">
      <c r="G75" s="80"/>
    </row>
    <row r="76" ht="15.75" customHeight="1">
      <c r="G76" s="80"/>
    </row>
    <row r="77" ht="15.75" customHeight="1">
      <c r="G77" s="80"/>
    </row>
    <row r="78" ht="15.75" customHeight="1">
      <c r="G78" s="80"/>
    </row>
    <row r="79" ht="15.75" customHeight="1">
      <c r="G79" s="80"/>
    </row>
    <row r="80" ht="15.75" customHeight="1">
      <c r="G80" s="80"/>
    </row>
    <row r="81" ht="15.75" customHeight="1">
      <c r="G81" s="80"/>
    </row>
    <row r="82" ht="15.75" customHeight="1">
      <c r="G82" s="80"/>
    </row>
    <row r="83" ht="15.75" customHeight="1">
      <c r="G83" s="80"/>
    </row>
    <row r="84" ht="15.75" customHeight="1">
      <c r="G84" s="80"/>
    </row>
    <row r="85" ht="15.75" customHeight="1">
      <c r="G85" s="80"/>
    </row>
    <row r="86" ht="15.75" customHeight="1">
      <c r="G86" s="80"/>
    </row>
    <row r="87" ht="15.75" customHeight="1">
      <c r="G87" s="80"/>
    </row>
    <row r="88" ht="15.75" customHeight="1">
      <c r="G88" s="80"/>
    </row>
    <row r="89" ht="15.75" customHeight="1">
      <c r="G89" s="80"/>
    </row>
    <row r="90" ht="15.75" customHeight="1">
      <c r="G90" s="80"/>
    </row>
    <row r="91" ht="15.75" customHeight="1">
      <c r="G91" s="80"/>
    </row>
    <row r="92" ht="15.75" customHeight="1">
      <c r="G92" s="80"/>
    </row>
    <row r="93" ht="15.75" customHeight="1">
      <c r="G93" s="80"/>
    </row>
    <row r="94" ht="15.75" customHeight="1">
      <c r="G94" s="80"/>
    </row>
    <row r="95" ht="15.75" customHeight="1">
      <c r="G95" s="80"/>
    </row>
    <row r="96" ht="15.75" customHeight="1">
      <c r="G96" s="80"/>
    </row>
    <row r="97" ht="15.75" customHeight="1">
      <c r="G97" s="80"/>
    </row>
    <row r="98" ht="15.75" customHeight="1">
      <c r="G98" s="80"/>
    </row>
    <row r="99" ht="15.75" customHeight="1">
      <c r="G99" s="80"/>
    </row>
    <row r="100" ht="15.75" customHeight="1">
      <c r="G100" s="80"/>
    </row>
    <row r="101" ht="15.75" customHeight="1">
      <c r="G101" s="80"/>
    </row>
    <row r="102" ht="15.75" customHeight="1">
      <c r="G102" s="80"/>
    </row>
    <row r="103" ht="15.75" customHeight="1">
      <c r="G103" s="80"/>
    </row>
    <row r="104" ht="15.75" customHeight="1">
      <c r="G104" s="80"/>
    </row>
    <row r="105" ht="15.75" customHeight="1">
      <c r="G105" s="80"/>
    </row>
    <row r="106" ht="15.75" customHeight="1">
      <c r="G106" s="80"/>
    </row>
    <row r="107" ht="15.75" customHeight="1">
      <c r="G107" s="80"/>
    </row>
    <row r="108" ht="15.75" customHeight="1">
      <c r="G108" s="80"/>
    </row>
    <row r="109" ht="15.75" customHeight="1">
      <c r="G109" s="80"/>
    </row>
    <row r="110" ht="15.75" customHeight="1">
      <c r="G110" s="80"/>
    </row>
    <row r="111" ht="15.75" customHeight="1">
      <c r="G111" s="80"/>
    </row>
    <row r="112" ht="15.75" customHeight="1">
      <c r="G112" s="80"/>
    </row>
    <row r="113" ht="15.75" customHeight="1">
      <c r="G113" s="80"/>
    </row>
    <row r="114" ht="15.75" customHeight="1">
      <c r="G114" s="80"/>
    </row>
    <row r="115" ht="15.75" customHeight="1">
      <c r="G115" s="80"/>
    </row>
    <row r="116" ht="15.75" customHeight="1">
      <c r="G116" s="80"/>
    </row>
    <row r="117" ht="15.75" customHeight="1">
      <c r="G117" s="80"/>
    </row>
    <row r="118" ht="15.75" customHeight="1">
      <c r="G118" s="80"/>
    </row>
    <row r="119" ht="15.75" customHeight="1">
      <c r="G119" s="80"/>
    </row>
    <row r="120" ht="15.75" customHeight="1">
      <c r="G120" s="80"/>
    </row>
    <row r="121" ht="15.75" customHeight="1">
      <c r="G121" s="80"/>
    </row>
    <row r="122" ht="15.75" customHeight="1">
      <c r="G122" s="80"/>
    </row>
    <row r="123" ht="15.75" customHeight="1">
      <c r="G123" s="80"/>
    </row>
    <row r="124" ht="15.75" customHeight="1">
      <c r="G124" s="80"/>
    </row>
    <row r="125" ht="15.75" customHeight="1">
      <c r="G125" s="80"/>
    </row>
    <row r="126" ht="15.75" customHeight="1">
      <c r="G126" s="80"/>
    </row>
    <row r="127" ht="15.75" customHeight="1">
      <c r="G127" s="80"/>
    </row>
    <row r="128" ht="15.75" customHeight="1">
      <c r="G128" s="80"/>
    </row>
    <row r="129" ht="15.75" customHeight="1">
      <c r="G129" s="80"/>
    </row>
    <row r="130" ht="15.75" customHeight="1">
      <c r="G130" s="80"/>
    </row>
    <row r="131" ht="15.75" customHeight="1">
      <c r="G131" s="80"/>
    </row>
    <row r="132" ht="15.75" customHeight="1">
      <c r="G132" s="80"/>
    </row>
    <row r="133" ht="15.75" customHeight="1">
      <c r="G133" s="80"/>
    </row>
    <row r="134" ht="15.75" customHeight="1">
      <c r="G134" s="80"/>
    </row>
    <row r="135" ht="15.75" customHeight="1">
      <c r="G135" s="80"/>
    </row>
    <row r="136" ht="15.75" customHeight="1">
      <c r="G136" s="80"/>
    </row>
    <row r="137" ht="15.75" customHeight="1">
      <c r="G137" s="80"/>
    </row>
    <row r="138" ht="15.75" customHeight="1">
      <c r="G138" s="80"/>
    </row>
    <row r="139" ht="15.75" customHeight="1">
      <c r="G139" s="80"/>
    </row>
    <row r="140" ht="15.75" customHeight="1">
      <c r="G140" s="80"/>
    </row>
    <row r="141" ht="15.75" customHeight="1">
      <c r="G141" s="80"/>
    </row>
    <row r="142" ht="15.75" customHeight="1">
      <c r="G142" s="80"/>
    </row>
    <row r="143" ht="15.75" customHeight="1">
      <c r="G143" s="80"/>
    </row>
    <row r="144" ht="15.75" customHeight="1">
      <c r="G144" s="80"/>
    </row>
    <row r="145" ht="15.75" customHeight="1">
      <c r="G145" s="80"/>
    </row>
    <row r="146" ht="15.75" customHeight="1">
      <c r="G146" s="80"/>
    </row>
    <row r="147" ht="15.75" customHeight="1">
      <c r="G147" s="80"/>
    </row>
    <row r="148" ht="15.75" customHeight="1">
      <c r="G148" s="80"/>
    </row>
    <row r="149" ht="15.75" customHeight="1">
      <c r="G149" s="80"/>
    </row>
    <row r="150" ht="15.75" customHeight="1">
      <c r="G150" s="80"/>
    </row>
    <row r="151" ht="15.75" customHeight="1">
      <c r="G151" s="80"/>
    </row>
    <row r="152" ht="15.75" customHeight="1">
      <c r="G152" s="80"/>
    </row>
    <row r="153" ht="15.75" customHeight="1">
      <c r="G153" s="80"/>
    </row>
    <row r="154" ht="15.75" customHeight="1">
      <c r="G154" s="80"/>
    </row>
    <row r="155" ht="15.75" customHeight="1">
      <c r="G155" s="80"/>
    </row>
    <row r="156" ht="15.75" customHeight="1">
      <c r="G156" s="80"/>
    </row>
    <row r="157" ht="15.75" customHeight="1">
      <c r="G157" s="80"/>
    </row>
    <row r="158" ht="15.75" customHeight="1">
      <c r="G158" s="80"/>
    </row>
    <row r="159" ht="15.75" customHeight="1">
      <c r="G159" s="80"/>
    </row>
    <row r="160" ht="15.75" customHeight="1">
      <c r="G160" s="80"/>
    </row>
    <row r="161" ht="15.75" customHeight="1">
      <c r="G161" s="80"/>
    </row>
    <row r="162" ht="15.75" customHeight="1">
      <c r="G162" s="80"/>
    </row>
    <row r="163" ht="15.75" customHeight="1">
      <c r="G163" s="80"/>
    </row>
    <row r="164" ht="15.75" customHeight="1">
      <c r="G164" s="80"/>
    </row>
    <row r="165" ht="15.75" customHeight="1">
      <c r="G165" s="80"/>
    </row>
    <row r="166" ht="15.75" customHeight="1">
      <c r="G166" s="80"/>
    </row>
    <row r="167" ht="15.75" customHeight="1">
      <c r="G167" s="80"/>
    </row>
    <row r="168" ht="15.75" customHeight="1">
      <c r="G168" s="80"/>
    </row>
    <row r="169" ht="15.75" customHeight="1">
      <c r="G169" s="80"/>
    </row>
    <row r="170" ht="15.75" customHeight="1">
      <c r="G170" s="80"/>
    </row>
    <row r="171" ht="15.75" customHeight="1">
      <c r="G171" s="80"/>
    </row>
    <row r="172" ht="15.75" customHeight="1">
      <c r="G172" s="80"/>
    </row>
    <row r="173" ht="15.75" customHeight="1">
      <c r="G173" s="80"/>
    </row>
    <row r="174" ht="15.75" customHeight="1">
      <c r="G174" s="80"/>
    </row>
    <row r="175" ht="15.75" customHeight="1">
      <c r="G175" s="80"/>
    </row>
    <row r="176" ht="15.75" customHeight="1">
      <c r="G176" s="80"/>
    </row>
    <row r="177" ht="15.75" customHeight="1">
      <c r="G177" s="80"/>
    </row>
    <row r="178" ht="15.75" customHeight="1">
      <c r="G178" s="80"/>
    </row>
    <row r="179" ht="15.75" customHeight="1">
      <c r="G179" s="80"/>
    </row>
    <row r="180" ht="15.75" customHeight="1">
      <c r="G180" s="80"/>
    </row>
    <row r="181" ht="15.75" customHeight="1">
      <c r="G181" s="80"/>
    </row>
    <row r="182" ht="15.75" customHeight="1">
      <c r="G182" s="80"/>
    </row>
    <row r="183" ht="15.75" customHeight="1">
      <c r="G183" s="80"/>
    </row>
    <row r="184" ht="15.75" customHeight="1">
      <c r="G184" s="80"/>
    </row>
    <row r="185" ht="15.75" customHeight="1">
      <c r="G185" s="80"/>
    </row>
    <row r="186" ht="15.75" customHeight="1">
      <c r="G186" s="80"/>
    </row>
    <row r="187" ht="15.75" customHeight="1">
      <c r="G187" s="80"/>
    </row>
    <row r="188" ht="15.75" customHeight="1">
      <c r="G188" s="80"/>
    </row>
    <row r="189" ht="15.75" customHeight="1">
      <c r="G189" s="80"/>
    </row>
    <row r="190" ht="15.75" customHeight="1">
      <c r="G190" s="80"/>
    </row>
    <row r="191" ht="15.75" customHeight="1">
      <c r="G191" s="80"/>
    </row>
    <row r="192" ht="15.75" customHeight="1">
      <c r="G192" s="80"/>
    </row>
    <row r="193" ht="15.75" customHeight="1">
      <c r="G193" s="80"/>
    </row>
    <row r="194" ht="15.75" customHeight="1">
      <c r="G194" s="80"/>
    </row>
    <row r="195" ht="15.75" customHeight="1">
      <c r="G195" s="80"/>
    </row>
    <row r="196" ht="15.75" customHeight="1">
      <c r="G196" s="80"/>
    </row>
    <row r="197" ht="15.75" customHeight="1">
      <c r="G197" s="80"/>
    </row>
    <row r="198" ht="15.75" customHeight="1">
      <c r="G198" s="80"/>
    </row>
    <row r="199" ht="15.75" customHeight="1">
      <c r="G199" s="80"/>
    </row>
    <row r="200" ht="15.75" customHeight="1">
      <c r="G200" s="80"/>
    </row>
    <row r="201" ht="15.75" customHeight="1">
      <c r="G201" s="80"/>
    </row>
    <row r="202" ht="15.75" customHeight="1">
      <c r="G202" s="80"/>
    </row>
    <row r="203" ht="15.75" customHeight="1">
      <c r="G203" s="80"/>
    </row>
    <row r="204" ht="15.75" customHeight="1">
      <c r="G204" s="80"/>
    </row>
    <row r="205" ht="15.75" customHeight="1">
      <c r="G205" s="80"/>
    </row>
    <row r="206" ht="15.75" customHeight="1">
      <c r="G206" s="80"/>
    </row>
    <row r="207" ht="15.75" customHeight="1">
      <c r="G207" s="80"/>
    </row>
    <row r="208" ht="15.75" customHeight="1">
      <c r="G208" s="80"/>
    </row>
    <row r="209" ht="15.75" customHeight="1">
      <c r="G209" s="80"/>
    </row>
    <row r="210" ht="15.75" customHeight="1">
      <c r="G210" s="80"/>
    </row>
    <row r="211" ht="15.75" customHeight="1">
      <c r="G211" s="80"/>
    </row>
    <row r="212" ht="15.75" customHeight="1">
      <c r="G212" s="80"/>
    </row>
    <row r="213" ht="15.75" customHeight="1">
      <c r="G213" s="80"/>
    </row>
    <row r="214" ht="15.75" customHeight="1">
      <c r="G214" s="80"/>
    </row>
    <row r="215" ht="15.75" customHeight="1">
      <c r="G215" s="80"/>
    </row>
    <row r="216" ht="15.75" customHeight="1">
      <c r="G216" s="80"/>
    </row>
    <row r="217" ht="15.75" customHeight="1">
      <c r="G217" s="80"/>
    </row>
    <row r="218" ht="15.75" customHeight="1">
      <c r="G218" s="80"/>
    </row>
    <row r="219" ht="15.75" customHeight="1">
      <c r="G219" s="80"/>
    </row>
    <row r="220" ht="15.75" customHeight="1">
      <c r="G220" s="80"/>
    </row>
    <row r="221" ht="15.75" customHeight="1">
      <c r="G221" s="80"/>
    </row>
    <row r="222" ht="15.75" customHeight="1">
      <c r="G222" s="80"/>
    </row>
    <row r="223" ht="15.75" customHeight="1">
      <c r="G223" s="80"/>
    </row>
    <row r="224" ht="15.75" customHeight="1">
      <c r="G224" s="80"/>
    </row>
    <row r="225" ht="15.75" customHeight="1">
      <c r="G225" s="80"/>
    </row>
    <row r="226" ht="15.75" customHeight="1">
      <c r="G226" s="80"/>
    </row>
    <row r="227" ht="15.75" customHeight="1">
      <c r="G227" s="80"/>
    </row>
    <row r="228" ht="15.75" customHeight="1">
      <c r="G228" s="80"/>
    </row>
    <row r="229" ht="15.75" customHeight="1">
      <c r="G229" s="80"/>
    </row>
    <row r="230" ht="15.75" customHeight="1">
      <c r="G230" s="80"/>
    </row>
    <row r="231" ht="15.75" customHeight="1">
      <c r="G231" s="80"/>
    </row>
    <row r="232" ht="15.75" customHeight="1">
      <c r="G232" s="80"/>
    </row>
    <row r="233" ht="15.75" customHeight="1">
      <c r="G233" s="80"/>
    </row>
    <row r="234" ht="15.75" customHeight="1">
      <c r="G234" s="80"/>
    </row>
    <row r="235" ht="15.75" customHeight="1">
      <c r="G235" s="80"/>
    </row>
    <row r="236" ht="15.75" customHeight="1">
      <c r="G236" s="80"/>
    </row>
    <row r="237" ht="15.75" customHeight="1">
      <c r="G237" s="80"/>
    </row>
    <row r="238" ht="15.75" customHeight="1">
      <c r="G238" s="80"/>
    </row>
    <row r="239" ht="15.75" customHeight="1">
      <c r="G239" s="80"/>
    </row>
    <row r="240" ht="15.75" customHeight="1">
      <c r="G240" s="80"/>
    </row>
    <row r="241" ht="15.75" customHeight="1">
      <c r="G241" s="80"/>
    </row>
    <row r="242" ht="15.75" customHeight="1">
      <c r="G242" s="80"/>
    </row>
    <row r="243" ht="15.75" customHeight="1">
      <c r="G243" s="80"/>
    </row>
    <row r="244" ht="15.75" customHeight="1">
      <c r="G244" s="80"/>
    </row>
    <row r="245" ht="15.75" customHeight="1">
      <c r="G245" s="80"/>
    </row>
    <row r="246" ht="15.75" customHeight="1">
      <c r="G246" s="80"/>
    </row>
    <row r="247" ht="15.75" customHeight="1">
      <c r="G247" s="80"/>
    </row>
    <row r="248" ht="15.75" customHeight="1">
      <c r="G248" s="80"/>
    </row>
    <row r="249" ht="15.75" customHeight="1">
      <c r="G249" s="80"/>
    </row>
    <row r="250" ht="15.75" customHeight="1">
      <c r="G250" s="80"/>
    </row>
    <row r="251" ht="15.75" customHeight="1">
      <c r="G251" s="80"/>
    </row>
    <row r="252" ht="15.75" customHeight="1">
      <c r="G252" s="80"/>
    </row>
    <row r="253" ht="15.75" customHeight="1">
      <c r="G253" s="80"/>
    </row>
    <row r="254" ht="15.75" customHeight="1">
      <c r="G254" s="80"/>
    </row>
    <row r="255" ht="15.75" customHeight="1">
      <c r="G255" s="80"/>
    </row>
    <row r="256" ht="15.75" customHeight="1">
      <c r="G256" s="80"/>
    </row>
    <row r="257" ht="15.75" customHeight="1">
      <c r="G257" s="80"/>
    </row>
    <row r="258" ht="15.75" customHeight="1">
      <c r="G258" s="80"/>
    </row>
    <row r="259" ht="15.75" customHeight="1">
      <c r="G259" s="80"/>
    </row>
    <row r="260" ht="15.75" customHeight="1">
      <c r="G260" s="80"/>
    </row>
    <row r="261" ht="15.75" customHeight="1">
      <c r="G261" s="80"/>
    </row>
    <row r="262" ht="15.75" customHeight="1">
      <c r="G262" s="80"/>
    </row>
    <row r="263" ht="15.75" customHeight="1">
      <c r="G263" s="80"/>
    </row>
    <row r="264" ht="15.75" customHeight="1">
      <c r="G264" s="80"/>
    </row>
    <row r="265" ht="15.75" customHeight="1">
      <c r="G265" s="80"/>
    </row>
    <row r="266" ht="15.75" customHeight="1">
      <c r="G266" s="80"/>
    </row>
    <row r="267" ht="15.75" customHeight="1">
      <c r="G267" s="80"/>
    </row>
    <row r="268" ht="15.75" customHeight="1">
      <c r="G268" s="80"/>
    </row>
    <row r="269" ht="15.75" customHeight="1">
      <c r="G269" s="80"/>
    </row>
    <row r="270" ht="15.75" customHeight="1">
      <c r="G270" s="80"/>
    </row>
    <row r="271" ht="15.75" customHeight="1">
      <c r="G271" s="80"/>
    </row>
    <row r="272" ht="15.75" customHeight="1">
      <c r="G272" s="80"/>
    </row>
    <row r="273" ht="15.75" customHeight="1">
      <c r="G273" s="80"/>
    </row>
    <row r="274" ht="15.75" customHeight="1">
      <c r="G274" s="80"/>
    </row>
    <row r="275" ht="15.75" customHeight="1">
      <c r="G275" s="80"/>
    </row>
    <row r="276" ht="15.75" customHeight="1">
      <c r="G276" s="80"/>
    </row>
    <row r="277" ht="15.75" customHeight="1">
      <c r="G277" s="80"/>
    </row>
    <row r="278" ht="15.75" customHeight="1">
      <c r="G278" s="80"/>
    </row>
    <row r="279" ht="15.75" customHeight="1">
      <c r="G279" s="80"/>
    </row>
    <row r="280" ht="15.75" customHeight="1">
      <c r="G280" s="80"/>
    </row>
    <row r="281" ht="15.75" customHeight="1">
      <c r="G281" s="80"/>
    </row>
    <row r="282" ht="15.75" customHeight="1">
      <c r="G282" s="80"/>
    </row>
    <row r="283" ht="15.75" customHeight="1">
      <c r="G283" s="80"/>
    </row>
    <row r="284" ht="15.75" customHeight="1">
      <c r="G284" s="80"/>
    </row>
    <row r="285" ht="15.75" customHeight="1">
      <c r="G285" s="80"/>
    </row>
    <row r="286" ht="15.75" customHeight="1">
      <c r="G286" s="80"/>
    </row>
    <row r="287" ht="15.75" customHeight="1">
      <c r="G287" s="80"/>
    </row>
    <row r="288" ht="15.75" customHeight="1">
      <c r="G288" s="80"/>
    </row>
    <row r="289" ht="15.75" customHeight="1">
      <c r="G289" s="80"/>
    </row>
    <row r="290" ht="15.75" customHeight="1">
      <c r="G290" s="80"/>
    </row>
    <row r="291" ht="15.75" customHeight="1">
      <c r="G291" s="80"/>
    </row>
    <row r="292" ht="15.75" customHeight="1">
      <c r="G292" s="80"/>
    </row>
    <row r="293" ht="15.75" customHeight="1">
      <c r="G293" s="80"/>
    </row>
    <row r="294" ht="15.75" customHeight="1">
      <c r="G294" s="80"/>
    </row>
    <row r="295" ht="15.75" customHeight="1">
      <c r="G295" s="80"/>
    </row>
    <row r="296" ht="15.75" customHeight="1">
      <c r="G296" s="80"/>
    </row>
    <row r="297" ht="15.75" customHeight="1">
      <c r="G297" s="80"/>
    </row>
    <row r="298" ht="15.75" customHeight="1">
      <c r="G298" s="80"/>
    </row>
    <row r="299" ht="15.75" customHeight="1">
      <c r="G299" s="80"/>
    </row>
    <row r="300" ht="15.75" customHeight="1">
      <c r="G300" s="80"/>
    </row>
    <row r="301" ht="15.75" customHeight="1">
      <c r="G301" s="80"/>
    </row>
    <row r="302" ht="15.75" customHeight="1">
      <c r="G302" s="80"/>
    </row>
    <row r="303" ht="15.75" customHeight="1">
      <c r="G303" s="80"/>
    </row>
    <row r="304" ht="15.75" customHeight="1">
      <c r="G304" s="80"/>
    </row>
    <row r="305" ht="15.75" customHeight="1">
      <c r="G305" s="80"/>
    </row>
    <row r="306" ht="15.75" customHeight="1">
      <c r="G306" s="80"/>
    </row>
    <row r="307" ht="15.75" customHeight="1">
      <c r="G307" s="80"/>
    </row>
    <row r="308" ht="15.75" customHeight="1">
      <c r="G308" s="80"/>
    </row>
    <row r="309" ht="15.75" customHeight="1">
      <c r="G309" s="80"/>
    </row>
    <row r="310" ht="15.75" customHeight="1">
      <c r="G310" s="80"/>
    </row>
    <row r="311" ht="15.75" customHeight="1">
      <c r="G311" s="80"/>
    </row>
    <row r="312" ht="15.75" customHeight="1">
      <c r="G312" s="80"/>
    </row>
    <row r="313" ht="15.75" customHeight="1">
      <c r="G313" s="80"/>
    </row>
    <row r="314" ht="15.75" customHeight="1">
      <c r="G314" s="80"/>
    </row>
    <row r="315" ht="15.75" customHeight="1">
      <c r="G315" s="80"/>
    </row>
    <row r="316" ht="15.75" customHeight="1">
      <c r="G316" s="80"/>
    </row>
    <row r="317" ht="15.75" customHeight="1">
      <c r="G317" s="80"/>
    </row>
    <row r="318" ht="15.75" customHeight="1">
      <c r="G318" s="80"/>
    </row>
    <row r="319" ht="15.75" customHeight="1">
      <c r="G319" s="80"/>
    </row>
    <row r="320" ht="15.75" customHeight="1">
      <c r="G320" s="80"/>
    </row>
    <row r="321" ht="15.75" customHeight="1">
      <c r="G321" s="80"/>
    </row>
    <row r="322" ht="15.75" customHeight="1">
      <c r="G322" s="80"/>
    </row>
    <row r="323" ht="15.75" customHeight="1">
      <c r="G323" s="80"/>
    </row>
    <row r="324" ht="15.75" customHeight="1">
      <c r="G324" s="80"/>
    </row>
    <row r="325" ht="15.75" customHeight="1">
      <c r="G325" s="80"/>
    </row>
    <row r="326" ht="15.75" customHeight="1">
      <c r="G326" s="80"/>
    </row>
    <row r="327" ht="15.75" customHeight="1">
      <c r="G327" s="80"/>
    </row>
    <row r="328" ht="15.75" customHeight="1">
      <c r="G328" s="80"/>
    </row>
    <row r="329" ht="15.75" customHeight="1">
      <c r="G329" s="80"/>
    </row>
    <row r="330" ht="15.75" customHeight="1">
      <c r="G330" s="80"/>
    </row>
    <row r="331" ht="15.75" customHeight="1">
      <c r="G331" s="80"/>
    </row>
    <row r="332" ht="15.75" customHeight="1">
      <c r="G332" s="80"/>
    </row>
    <row r="333" ht="15.75" customHeight="1">
      <c r="G333" s="80"/>
    </row>
    <row r="334" ht="15.75" customHeight="1">
      <c r="G334" s="80"/>
    </row>
    <row r="335" ht="15.75" customHeight="1">
      <c r="G335" s="80"/>
    </row>
    <row r="336" ht="15.75" customHeight="1">
      <c r="G336" s="80"/>
    </row>
    <row r="337" ht="15.75" customHeight="1">
      <c r="G337" s="80"/>
    </row>
    <row r="338" ht="15.75" customHeight="1">
      <c r="G338" s="80"/>
    </row>
    <row r="339" ht="15.75" customHeight="1">
      <c r="G339" s="80"/>
    </row>
    <row r="340" ht="15.75" customHeight="1">
      <c r="G340" s="80"/>
    </row>
    <row r="341" ht="15.75" customHeight="1">
      <c r="G341" s="80"/>
    </row>
    <row r="342" ht="15.75" customHeight="1">
      <c r="G342" s="80"/>
    </row>
    <row r="343" ht="15.75" customHeight="1">
      <c r="G343" s="80"/>
    </row>
    <row r="344" ht="15.75" customHeight="1">
      <c r="G344" s="80"/>
    </row>
    <row r="345" ht="15.75" customHeight="1">
      <c r="G345" s="80"/>
    </row>
    <row r="346" ht="15.75" customHeight="1">
      <c r="G346" s="80"/>
    </row>
    <row r="347" ht="15.75" customHeight="1">
      <c r="G347" s="80"/>
    </row>
    <row r="348" ht="15.75" customHeight="1">
      <c r="G348" s="80"/>
    </row>
    <row r="349" ht="15.75" customHeight="1">
      <c r="G349" s="80"/>
    </row>
    <row r="350" ht="15.75" customHeight="1">
      <c r="G350" s="80"/>
    </row>
    <row r="351" ht="15.75" customHeight="1">
      <c r="G351" s="80"/>
    </row>
    <row r="352" ht="15.75" customHeight="1">
      <c r="G352" s="80"/>
    </row>
    <row r="353" ht="15.75" customHeight="1">
      <c r="G353" s="80"/>
    </row>
    <row r="354" ht="15.75" customHeight="1">
      <c r="G354" s="80"/>
    </row>
    <row r="355" ht="15.75" customHeight="1">
      <c r="G355" s="80"/>
    </row>
    <row r="356" ht="15.75" customHeight="1">
      <c r="G356" s="80"/>
    </row>
    <row r="357" ht="15.75" customHeight="1">
      <c r="G357" s="80"/>
    </row>
    <row r="358" ht="15.75" customHeight="1">
      <c r="G358" s="80"/>
    </row>
    <row r="359" ht="15.75" customHeight="1">
      <c r="G359" s="80"/>
    </row>
    <row r="360" ht="15.75" customHeight="1">
      <c r="G360" s="80"/>
    </row>
    <row r="361" ht="15.75" customHeight="1">
      <c r="G361" s="80"/>
    </row>
    <row r="362" ht="15.75" customHeight="1">
      <c r="G362" s="80"/>
    </row>
    <row r="363" ht="15.75" customHeight="1">
      <c r="G363" s="80"/>
    </row>
    <row r="364" ht="15.75" customHeight="1">
      <c r="G364" s="80"/>
    </row>
    <row r="365" ht="15.75" customHeight="1">
      <c r="G365" s="80"/>
    </row>
    <row r="366" ht="15.75" customHeight="1">
      <c r="G366" s="80"/>
    </row>
    <row r="367" ht="15.75" customHeight="1">
      <c r="G367" s="80"/>
    </row>
    <row r="368" ht="15.75" customHeight="1">
      <c r="G368" s="80"/>
    </row>
    <row r="369" ht="15.75" customHeight="1">
      <c r="G369" s="80"/>
    </row>
    <row r="370" ht="15.75" customHeight="1">
      <c r="G370" s="80"/>
    </row>
    <row r="371" ht="15.75" customHeight="1">
      <c r="G371" s="80"/>
    </row>
    <row r="372" ht="15.75" customHeight="1">
      <c r="G372" s="80"/>
    </row>
    <row r="373" ht="15.75" customHeight="1">
      <c r="G373" s="80"/>
    </row>
    <row r="374" ht="15.75" customHeight="1">
      <c r="G374" s="80"/>
    </row>
    <row r="375" ht="15.75" customHeight="1">
      <c r="G375" s="80"/>
    </row>
    <row r="376" ht="15.75" customHeight="1">
      <c r="G376" s="80"/>
    </row>
    <row r="377" ht="15.75" customHeight="1">
      <c r="G377" s="80"/>
    </row>
    <row r="378" ht="15.75" customHeight="1">
      <c r="G378" s="80"/>
    </row>
    <row r="379" ht="15.75" customHeight="1">
      <c r="G379" s="80"/>
    </row>
    <row r="380" ht="15.75" customHeight="1">
      <c r="G380" s="80"/>
    </row>
    <row r="381" ht="15.75" customHeight="1">
      <c r="G381" s="80"/>
    </row>
    <row r="382" ht="15.75" customHeight="1">
      <c r="G382" s="80"/>
    </row>
    <row r="383" ht="15.75" customHeight="1">
      <c r="G383" s="80"/>
    </row>
    <row r="384" ht="15.75" customHeight="1">
      <c r="G384" s="80"/>
    </row>
    <row r="385" ht="15.75" customHeight="1">
      <c r="G385" s="80"/>
    </row>
    <row r="386" ht="15.75" customHeight="1">
      <c r="G386" s="80"/>
    </row>
    <row r="387" ht="15.75" customHeight="1">
      <c r="G387" s="80"/>
    </row>
    <row r="388" ht="15.75" customHeight="1">
      <c r="G388" s="80"/>
    </row>
    <row r="389" ht="15.75" customHeight="1">
      <c r="G389" s="80"/>
    </row>
    <row r="390" ht="15.75" customHeight="1">
      <c r="G390" s="80"/>
    </row>
    <row r="391" ht="15.75" customHeight="1">
      <c r="G391" s="80"/>
    </row>
    <row r="392" ht="15.75" customHeight="1">
      <c r="G392" s="80"/>
    </row>
    <row r="393" ht="15.75" customHeight="1">
      <c r="G393" s="80"/>
    </row>
    <row r="394" ht="15.75" customHeight="1">
      <c r="G394" s="80"/>
    </row>
    <row r="395" ht="15.75" customHeight="1">
      <c r="G395" s="80"/>
    </row>
    <row r="396" ht="15.75" customHeight="1">
      <c r="G396" s="80"/>
    </row>
    <row r="397" ht="15.75" customHeight="1">
      <c r="G397" s="80"/>
    </row>
    <row r="398" ht="15.75" customHeight="1">
      <c r="G398" s="80"/>
    </row>
    <row r="399" ht="15.75" customHeight="1">
      <c r="G399" s="80"/>
    </row>
    <row r="400" ht="15.75" customHeight="1">
      <c r="G400" s="80"/>
    </row>
    <row r="401" ht="15.75" customHeight="1">
      <c r="G401" s="80"/>
    </row>
    <row r="402" ht="15.75" customHeight="1">
      <c r="G402" s="80"/>
    </row>
    <row r="403" ht="15.75" customHeight="1">
      <c r="G403" s="80"/>
    </row>
    <row r="404" ht="15.75" customHeight="1">
      <c r="G404" s="80"/>
    </row>
    <row r="405" ht="15.75" customHeight="1">
      <c r="G405" s="80"/>
    </row>
    <row r="406" ht="15.75" customHeight="1">
      <c r="G406" s="80"/>
    </row>
    <row r="407" ht="15.75" customHeight="1">
      <c r="G407" s="80"/>
    </row>
    <row r="408" ht="15.75" customHeight="1">
      <c r="G408" s="80"/>
    </row>
    <row r="409" ht="15.75" customHeight="1">
      <c r="G409" s="80"/>
    </row>
    <row r="410" ht="15.75" customHeight="1">
      <c r="G410" s="80"/>
    </row>
    <row r="411" ht="15.75" customHeight="1">
      <c r="G411" s="80"/>
    </row>
    <row r="412" ht="15.75" customHeight="1">
      <c r="G412" s="80"/>
    </row>
    <row r="413" ht="15.75" customHeight="1">
      <c r="G413" s="80"/>
    </row>
    <row r="414" ht="15.75" customHeight="1">
      <c r="G414" s="80"/>
    </row>
    <row r="415" ht="15.75" customHeight="1">
      <c r="G415" s="80"/>
    </row>
    <row r="416" ht="15.75" customHeight="1">
      <c r="G416" s="80"/>
    </row>
    <row r="417" ht="15.75" customHeight="1">
      <c r="G417" s="80"/>
    </row>
    <row r="418" ht="15.75" customHeight="1">
      <c r="G418" s="80"/>
    </row>
    <row r="419" ht="15.75" customHeight="1">
      <c r="G419" s="80"/>
    </row>
    <row r="420" ht="15.75" customHeight="1">
      <c r="G420" s="80"/>
    </row>
    <row r="421" ht="15.75" customHeight="1">
      <c r="G421" s="80"/>
    </row>
    <row r="422" ht="15.75" customHeight="1">
      <c r="G422" s="80"/>
    </row>
    <row r="423" ht="15.75" customHeight="1">
      <c r="G423" s="80"/>
    </row>
    <row r="424" ht="15.75" customHeight="1">
      <c r="G424" s="80"/>
    </row>
    <row r="425" ht="15.75" customHeight="1">
      <c r="G425" s="80"/>
    </row>
    <row r="426" ht="15.75" customHeight="1">
      <c r="G426" s="80"/>
    </row>
    <row r="427" ht="15.75" customHeight="1">
      <c r="G427" s="80"/>
    </row>
    <row r="428" ht="15.75" customHeight="1">
      <c r="G428" s="80"/>
    </row>
    <row r="429" ht="15.75" customHeight="1">
      <c r="G429" s="80"/>
    </row>
    <row r="430" ht="15.75" customHeight="1">
      <c r="G430" s="80"/>
    </row>
    <row r="431" ht="15.75" customHeight="1">
      <c r="G431" s="80"/>
    </row>
    <row r="432" ht="15.75" customHeight="1">
      <c r="G432" s="80"/>
    </row>
    <row r="433" ht="15.75" customHeight="1">
      <c r="G433" s="80"/>
    </row>
    <row r="434" ht="15.75" customHeight="1">
      <c r="G434" s="80"/>
    </row>
    <row r="435" ht="15.75" customHeight="1">
      <c r="G435" s="80"/>
    </row>
    <row r="436" ht="15.75" customHeight="1">
      <c r="G436" s="80"/>
    </row>
    <row r="437" ht="15.75" customHeight="1">
      <c r="G437" s="80"/>
    </row>
    <row r="438" ht="15.75" customHeight="1">
      <c r="G438" s="80"/>
    </row>
    <row r="439" ht="15.75" customHeight="1">
      <c r="G439" s="80"/>
    </row>
    <row r="440" ht="15.75" customHeight="1">
      <c r="G440" s="80"/>
    </row>
    <row r="441" ht="15.75" customHeight="1">
      <c r="G441" s="80"/>
    </row>
    <row r="442" ht="15.75" customHeight="1">
      <c r="G442" s="80"/>
    </row>
    <row r="443" ht="15.75" customHeight="1">
      <c r="G443" s="80"/>
    </row>
    <row r="444" ht="15.75" customHeight="1">
      <c r="G444" s="80"/>
    </row>
    <row r="445" ht="15.75" customHeight="1">
      <c r="G445" s="80"/>
    </row>
    <row r="446" ht="15.75" customHeight="1">
      <c r="G446" s="80"/>
    </row>
    <row r="447" ht="15.75" customHeight="1">
      <c r="G447" s="80"/>
    </row>
    <row r="448" ht="15.75" customHeight="1">
      <c r="G448" s="80"/>
    </row>
    <row r="449" ht="15.75" customHeight="1">
      <c r="G449" s="80"/>
    </row>
    <row r="450" ht="15.75" customHeight="1">
      <c r="G450" s="80"/>
    </row>
    <row r="451" ht="15.75" customHeight="1">
      <c r="G451" s="80"/>
    </row>
    <row r="452" ht="15.75" customHeight="1">
      <c r="G452" s="80"/>
    </row>
    <row r="453" ht="15.75" customHeight="1">
      <c r="G453" s="80"/>
    </row>
    <row r="454" ht="15.75" customHeight="1">
      <c r="G454" s="80"/>
    </row>
    <row r="455" ht="15.75" customHeight="1">
      <c r="G455" s="80"/>
    </row>
    <row r="456" ht="15.75" customHeight="1">
      <c r="G456" s="80"/>
    </row>
    <row r="457" ht="15.75" customHeight="1">
      <c r="G457" s="80"/>
    </row>
    <row r="458" ht="15.75" customHeight="1">
      <c r="G458" s="80"/>
    </row>
    <row r="459" ht="15.75" customHeight="1">
      <c r="G459" s="80"/>
    </row>
    <row r="460" ht="15.75" customHeight="1">
      <c r="G460" s="80"/>
    </row>
    <row r="461" ht="15.75" customHeight="1">
      <c r="G461" s="80"/>
    </row>
    <row r="462" ht="15.75" customHeight="1">
      <c r="G462" s="80"/>
    </row>
    <row r="463" ht="15.75" customHeight="1">
      <c r="G463" s="80"/>
    </row>
    <row r="464" ht="15.75" customHeight="1">
      <c r="G464" s="80"/>
    </row>
    <row r="465" ht="15.75" customHeight="1">
      <c r="G465" s="80"/>
    </row>
    <row r="466" ht="15.75" customHeight="1">
      <c r="G466" s="80"/>
    </row>
    <row r="467" ht="15.75" customHeight="1">
      <c r="G467" s="80"/>
    </row>
    <row r="468" ht="15.75" customHeight="1">
      <c r="G468" s="80"/>
    </row>
    <row r="469" ht="15.75" customHeight="1">
      <c r="G469" s="80"/>
    </row>
    <row r="470" ht="15.75" customHeight="1">
      <c r="G470" s="80"/>
    </row>
    <row r="471" ht="15.75" customHeight="1">
      <c r="G471" s="80"/>
    </row>
    <row r="472" ht="15.75" customHeight="1">
      <c r="G472" s="80"/>
    </row>
    <row r="473" ht="15.75" customHeight="1">
      <c r="G473" s="80"/>
    </row>
    <row r="474" ht="15.75" customHeight="1">
      <c r="G474" s="80"/>
    </row>
    <row r="475" ht="15.75" customHeight="1">
      <c r="G475" s="80"/>
    </row>
    <row r="476" ht="15.75" customHeight="1">
      <c r="G476" s="80"/>
    </row>
    <row r="477" ht="15.75" customHeight="1">
      <c r="G477" s="80"/>
    </row>
    <row r="478" ht="15.75" customHeight="1">
      <c r="G478" s="80"/>
    </row>
    <row r="479" ht="15.75" customHeight="1">
      <c r="G479" s="80"/>
    </row>
    <row r="480" ht="15.75" customHeight="1">
      <c r="G480" s="80"/>
    </row>
    <row r="481" ht="15.75" customHeight="1">
      <c r="G481" s="80"/>
    </row>
    <row r="482" ht="15.75" customHeight="1">
      <c r="G482" s="80"/>
    </row>
    <row r="483" ht="15.75" customHeight="1">
      <c r="G483" s="80"/>
    </row>
    <row r="484" ht="15.75" customHeight="1">
      <c r="G484" s="80"/>
    </row>
    <row r="485" ht="15.75" customHeight="1">
      <c r="G485" s="80"/>
    </row>
    <row r="486" ht="15.75" customHeight="1">
      <c r="G486" s="80"/>
    </row>
    <row r="487" ht="15.75" customHeight="1">
      <c r="G487" s="80"/>
    </row>
    <row r="488" ht="15.75" customHeight="1">
      <c r="G488" s="80"/>
    </row>
    <row r="489" ht="15.75" customHeight="1">
      <c r="G489" s="80"/>
    </row>
    <row r="490" ht="15.75" customHeight="1">
      <c r="G490" s="80"/>
    </row>
    <row r="491" ht="15.75" customHeight="1">
      <c r="G491" s="80"/>
    </row>
    <row r="492" ht="15.75" customHeight="1">
      <c r="G492" s="80"/>
    </row>
    <row r="493" ht="15.75" customHeight="1">
      <c r="G493" s="80"/>
    </row>
    <row r="494" ht="15.75" customHeight="1">
      <c r="G494" s="80"/>
    </row>
    <row r="495" ht="15.75" customHeight="1">
      <c r="G495" s="80"/>
    </row>
    <row r="496" ht="15.75" customHeight="1">
      <c r="G496" s="80"/>
    </row>
    <row r="497" ht="15.75" customHeight="1">
      <c r="G497" s="80"/>
    </row>
    <row r="498" ht="15.75" customHeight="1">
      <c r="G498" s="80"/>
    </row>
    <row r="499" ht="15.75" customHeight="1">
      <c r="G499" s="80"/>
    </row>
    <row r="500" ht="15.75" customHeight="1">
      <c r="G500" s="80"/>
    </row>
    <row r="501" ht="15.75" customHeight="1">
      <c r="G501" s="80"/>
    </row>
    <row r="502" ht="15.75" customHeight="1">
      <c r="G502" s="80"/>
    </row>
    <row r="503" ht="15.75" customHeight="1">
      <c r="G503" s="80"/>
    </row>
    <row r="504" ht="15.75" customHeight="1">
      <c r="G504" s="80"/>
    </row>
    <row r="505" ht="15.75" customHeight="1">
      <c r="G505" s="80"/>
    </row>
    <row r="506" ht="15.75" customHeight="1">
      <c r="G506" s="80"/>
    </row>
    <row r="507" ht="15.75" customHeight="1">
      <c r="G507" s="80"/>
    </row>
    <row r="508" ht="15.75" customHeight="1">
      <c r="G508" s="80"/>
    </row>
    <row r="509" ht="15.75" customHeight="1">
      <c r="G509" s="80"/>
    </row>
    <row r="510" ht="15.75" customHeight="1">
      <c r="G510" s="80"/>
    </row>
    <row r="511" ht="15.75" customHeight="1">
      <c r="G511" s="80"/>
    </row>
    <row r="512" ht="15.75" customHeight="1">
      <c r="G512" s="80"/>
    </row>
    <row r="513" ht="15.75" customHeight="1">
      <c r="G513" s="80"/>
    </row>
    <row r="514" ht="15.75" customHeight="1">
      <c r="G514" s="80"/>
    </row>
    <row r="515" ht="15.75" customHeight="1">
      <c r="G515" s="80"/>
    </row>
    <row r="516" ht="15.75" customHeight="1">
      <c r="G516" s="80"/>
    </row>
    <row r="517" ht="15.75" customHeight="1">
      <c r="G517" s="80"/>
    </row>
    <row r="518" ht="15.75" customHeight="1">
      <c r="G518" s="80"/>
    </row>
    <row r="519" ht="15.75" customHeight="1">
      <c r="G519" s="80"/>
    </row>
    <row r="520" ht="15.75" customHeight="1">
      <c r="G520" s="80"/>
    </row>
    <row r="521" ht="15.75" customHeight="1">
      <c r="G521" s="80"/>
    </row>
    <row r="522" ht="15.75" customHeight="1">
      <c r="G522" s="80"/>
    </row>
    <row r="523" ht="15.75" customHeight="1">
      <c r="G523" s="80"/>
    </row>
    <row r="524" ht="15.75" customHeight="1">
      <c r="G524" s="80"/>
    </row>
    <row r="525" ht="15.75" customHeight="1">
      <c r="G525" s="80"/>
    </row>
    <row r="526" ht="15.75" customHeight="1">
      <c r="G526" s="80"/>
    </row>
    <row r="527" ht="15.75" customHeight="1">
      <c r="G527" s="80"/>
    </row>
    <row r="528" ht="15.75" customHeight="1">
      <c r="G528" s="80"/>
    </row>
    <row r="529" ht="15.75" customHeight="1">
      <c r="G529" s="80"/>
    </row>
    <row r="530" ht="15.75" customHeight="1">
      <c r="G530" s="80"/>
    </row>
    <row r="531" ht="15.75" customHeight="1">
      <c r="G531" s="80"/>
    </row>
    <row r="532" ht="15.75" customHeight="1">
      <c r="G532" s="80"/>
    </row>
    <row r="533" ht="15.75" customHeight="1">
      <c r="G533" s="80"/>
    </row>
    <row r="534" ht="15.75" customHeight="1">
      <c r="G534" s="80"/>
    </row>
    <row r="535" ht="15.75" customHeight="1">
      <c r="G535" s="80"/>
    </row>
    <row r="536" ht="15.75" customHeight="1">
      <c r="G536" s="80"/>
    </row>
    <row r="537" ht="15.75" customHeight="1">
      <c r="G537" s="80"/>
    </row>
    <row r="538" ht="15.75" customHeight="1">
      <c r="G538" s="80"/>
    </row>
    <row r="539" ht="15.75" customHeight="1">
      <c r="G539" s="80"/>
    </row>
    <row r="540" ht="15.75" customHeight="1">
      <c r="G540" s="80"/>
    </row>
    <row r="541" ht="15.75" customHeight="1">
      <c r="G541" s="80"/>
    </row>
    <row r="542" ht="15.75" customHeight="1">
      <c r="G542" s="80"/>
    </row>
    <row r="543" ht="15.75" customHeight="1">
      <c r="G543" s="80"/>
    </row>
    <row r="544" ht="15.75" customHeight="1">
      <c r="G544" s="80"/>
    </row>
    <row r="545" ht="15.75" customHeight="1">
      <c r="G545" s="80"/>
    </row>
    <row r="546" ht="15.75" customHeight="1">
      <c r="G546" s="80"/>
    </row>
    <row r="547" ht="15.75" customHeight="1">
      <c r="G547" s="80"/>
    </row>
    <row r="548" ht="15.75" customHeight="1">
      <c r="G548" s="80"/>
    </row>
    <row r="549" ht="15.75" customHeight="1">
      <c r="G549" s="80"/>
    </row>
    <row r="550" ht="15.75" customHeight="1">
      <c r="G550" s="80"/>
    </row>
    <row r="551" ht="15.75" customHeight="1">
      <c r="G551" s="80"/>
    </row>
    <row r="552" ht="15.75" customHeight="1">
      <c r="G552" s="80"/>
    </row>
    <row r="553" ht="15.75" customHeight="1">
      <c r="G553" s="80"/>
    </row>
    <row r="554" ht="15.75" customHeight="1">
      <c r="G554" s="80"/>
    </row>
    <row r="555" ht="15.75" customHeight="1">
      <c r="G555" s="80"/>
    </row>
    <row r="556" ht="15.75" customHeight="1">
      <c r="G556" s="80"/>
    </row>
    <row r="557" ht="15.75" customHeight="1">
      <c r="G557" s="80"/>
    </row>
    <row r="558" ht="15.75" customHeight="1">
      <c r="G558" s="80"/>
    </row>
    <row r="559" ht="15.75" customHeight="1">
      <c r="G559" s="80"/>
    </row>
    <row r="560" ht="15.75" customHeight="1">
      <c r="G560" s="80"/>
    </row>
    <row r="561" ht="15.75" customHeight="1">
      <c r="G561" s="80"/>
    </row>
    <row r="562" ht="15.75" customHeight="1">
      <c r="G562" s="80"/>
    </row>
    <row r="563" ht="15.75" customHeight="1">
      <c r="G563" s="80"/>
    </row>
    <row r="564" ht="15.75" customHeight="1">
      <c r="G564" s="80"/>
    </row>
    <row r="565" ht="15.75" customHeight="1">
      <c r="G565" s="80"/>
    </row>
    <row r="566" ht="15.75" customHeight="1">
      <c r="G566" s="80"/>
    </row>
    <row r="567" ht="15.75" customHeight="1">
      <c r="G567" s="80"/>
    </row>
    <row r="568" ht="15.75" customHeight="1">
      <c r="G568" s="80"/>
    </row>
    <row r="569" ht="15.75" customHeight="1">
      <c r="G569" s="80"/>
    </row>
    <row r="570" ht="15.75" customHeight="1">
      <c r="G570" s="80"/>
    </row>
    <row r="571" ht="15.75" customHeight="1">
      <c r="G571" s="80"/>
    </row>
    <row r="572" ht="15.75" customHeight="1">
      <c r="G572" s="80"/>
    </row>
    <row r="573" ht="15.75" customHeight="1">
      <c r="G573" s="80"/>
    </row>
    <row r="574" ht="15.75" customHeight="1">
      <c r="G574" s="80"/>
    </row>
    <row r="575" ht="15.75" customHeight="1">
      <c r="G575" s="80"/>
    </row>
    <row r="576" ht="15.75" customHeight="1">
      <c r="G576" s="80"/>
    </row>
    <row r="577" ht="15.75" customHeight="1">
      <c r="G577" s="80"/>
    </row>
    <row r="578" ht="15.75" customHeight="1">
      <c r="G578" s="80"/>
    </row>
    <row r="579" ht="15.75" customHeight="1">
      <c r="G579" s="80"/>
    </row>
    <row r="580" ht="15.75" customHeight="1">
      <c r="G580" s="80"/>
    </row>
    <row r="581" ht="15.75" customHeight="1">
      <c r="G581" s="80"/>
    </row>
    <row r="582" ht="15.75" customHeight="1">
      <c r="G582" s="80"/>
    </row>
    <row r="583" ht="15.75" customHeight="1">
      <c r="G583" s="80"/>
    </row>
    <row r="584" ht="15.75" customHeight="1">
      <c r="G584" s="80"/>
    </row>
    <row r="585" ht="15.75" customHeight="1">
      <c r="G585" s="80"/>
    </row>
    <row r="586" ht="15.75" customHeight="1">
      <c r="G586" s="80"/>
    </row>
    <row r="587" ht="15.75" customHeight="1">
      <c r="G587" s="80"/>
    </row>
    <row r="588" ht="15.75" customHeight="1">
      <c r="G588" s="80"/>
    </row>
    <row r="589" ht="15.75" customHeight="1">
      <c r="G589" s="80"/>
    </row>
    <row r="590" ht="15.75" customHeight="1">
      <c r="G590" s="80"/>
    </row>
    <row r="591" ht="15.75" customHeight="1">
      <c r="G591" s="80"/>
    </row>
    <row r="592" ht="15.75" customHeight="1">
      <c r="G592" s="80"/>
    </row>
    <row r="593" ht="15.75" customHeight="1">
      <c r="G593" s="80"/>
    </row>
    <row r="594" ht="15.75" customHeight="1">
      <c r="G594" s="80"/>
    </row>
    <row r="595" ht="15.75" customHeight="1">
      <c r="G595" s="80"/>
    </row>
    <row r="596" ht="15.75" customHeight="1">
      <c r="G596" s="80"/>
    </row>
    <row r="597" ht="15.75" customHeight="1">
      <c r="G597" s="80"/>
    </row>
    <row r="598" ht="15.75" customHeight="1">
      <c r="G598" s="80"/>
    </row>
    <row r="599" ht="15.75" customHeight="1">
      <c r="G599" s="80"/>
    </row>
    <row r="600" ht="15.75" customHeight="1">
      <c r="G600" s="80"/>
    </row>
    <row r="601" ht="15.75" customHeight="1">
      <c r="G601" s="80"/>
    </row>
    <row r="602" ht="15.75" customHeight="1">
      <c r="G602" s="80"/>
    </row>
    <row r="603" ht="15.75" customHeight="1">
      <c r="G603" s="80"/>
    </row>
    <row r="604" ht="15.75" customHeight="1">
      <c r="G604" s="80"/>
    </row>
    <row r="605" ht="15.75" customHeight="1">
      <c r="G605" s="80"/>
    </row>
    <row r="606" ht="15.75" customHeight="1">
      <c r="G606" s="80"/>
    </row>
    <row r="607" ht="15.75" customHeight="1">
      <c r="G607" s="80"/>
    </row>
    <row r="608" ht="15.75" customHeight="1">
      <c r="G608" s="80"/>
    </row>
    <row r="609" ht="15.75" customHeight="1">
      <c r="G609" s="80"/>
    </row>
    <row r="610" ht="15.75" customHeight="1">
      <c r="G610" s="80"/>
    </row>
    <row r="611" ht="15.75" customHeight="1">
      <c r="G611" s="80"/>
    </row>
    <row r="612" ht="15.75" customHeight="1">
      <c r="G612" s="80"/>
    </row>
    <row r="613" ht="15.75" customHeight="1">
      <c r="G613" s="80"/>
    </row>
    <row r="614" ht="15.75" customHeight="1">
      <c r="G614" s="80"/>
    </row>
    <row r="615" ht="15.75" customHeight="1">
      <c r="G615" s="80"/>
    </row>
    <row r="616" ht="15.75" customHeight="1">
      <c r="G616" s="80"/>
    </row>
    <row r="617" ht="15.75" customHeight="1">
      <c r="G617" s="80"/>
    </row>
    <row r="618" ht="15.75" customHeight="1">
      <c r="G618" s="80"/>
    </row>
    <row r="619" ht="15.75" customHeight="1">
      <c r="G619" s="80"/>
    </row>
    <row r="620" ht="15.75" customHeight="1">
      <c r="G620" s="80"/>
    </row>
    <row r="621" ht="15.75" customHeight="1">
      <c r="G621" s="80"/>
    </row>
    <row r="622" ht="15.75" customHeight="1">
      <c r="G622" s="80"/>
    </row>
    <row r="623" ht="15.75" customHeight="1">
      <c r="G623" s="80"/>
    </row>
    <row r="624" ht="15.75" customHeight="1">
      <c r="G624" s="80"/>
    </row>
    <row r="625" ht="15.75" customHeight="1">
      <c r="G625" s="80"/>
    </row>
    <row r="626" ht="15.75" customHeight="1">
      <c r="G626" s="80"/>
    </row>
    <row r="627" ht="15.75" customHeight="1">
      <c r="G627" s="80"/>
    </row>
    <row r="628" ht="15.75" customHeight="1">
      <c r="G628" s="80"/>
    </row>
    <row r="629" ht="15.75" customHeight="1">
      <c r="G629" s="80"/>
    </row>
    <row r="630" ht="15.75" customHeight="1">
      <c r="G630" s="80"/>
    </row>
    <row r="631" ht="15.75" customHeight="1">
      <c r="G631" s="80"/>
    </row>
    <row r="632" ht="15.75" customHeight="1">
      <c r="G632" s="80"/>
    </row>
    <row r="633" ht="15.75" customHeight="1">
      <c r="G633" s="80"/>
    </row>
    <row r="634" ht="15.75" customHeight="1">
      <c r="G634" s="80"/>
    </row>
    <row r="635" ht="15.75" customHeight="1">
      <c r="G635" s="80"/>
    </row>
    <row r="636" ht="15.75" customHeight="1">
      <c r="G636" s="80"/>
    </row>
    <row r="637" ht="15.75" customHeight="1">
      <c r="G637" s="80"/>
    </row>
    <row r="638" ht="15.75" customHeight="1">
      <c r="G638" s="80"/>
    </row>
    <row r="639" ht="15.75" customHeight="1">
      <c r="G639" s="80"/>
    </row>
    <row r="640" ht="15.75" customHeight="1">
      <c r="G640" s="80"/>
    </row>
    <row r="641" ht="15.75" customHeight="1">
      <c r="G641" s="80"/>
    </row>
    <row r="642" ht="15.75" customHeight="1">
      <c r="G642" s="80"/>
    </row>
    <row r="643" ht="15.75" customHeight="1">
      <c r="G643" s="80"/>
    </row>
    <row r="644" ht="15.75" customHeight="1">
      <c r="G644" s="80"/>
    </row>
    <row r="645" ht="15.75" customHeight="1">
      <c r="G645" s="80"/>
    </row>
    <row r="646" ht="15.75" customHeight="1">
      <c r="G646" s="80"/>
    </row>
    <row r="647" ht="15.75" customHeight="1">
      <c r="G647" s="80"/>
    </row>
    <row r="648" ht="15.75" customHeight="1">
      <c r="G648" s="80"/>
    </row>
    <row r="649" ht="15.75" customHeight="1">
      <c r="G649" s="80"/>
    </row>
    <row r="650" ht="15.75" customHeight="1">
      <c r="G650" s="80"/>
    </row>
    <row r="651" ht="15.75" customHeight="1">
      <c r="G651" s="80"/>
    </row>
    <row r="652" ht="15.75" customHeight="1">
      <c r="G652" s="80"/>
    </row>
    <row r="653" ht="15.75" customHeight="1">
      <c r="G653" s="80"/>
    </row>
    <row r="654" ht="15.75" customHeight="1">
      <c r="G654" s="80"/>
    </row>
    <row r="655" ht="15.75" customHeight="1">
      <c r="G655" s="80"/>
    </row>
    <row r="656" ht="15.75" customHeight="1">
      <c r="G656" s="80"/>
    </row>
    <row r="657" ht="15.75" customHeight="1">
      <c r="G657" s="80"/>
    </row>
    <row r="658" ht="15.75" customHeight="1">
      <c r="G658" s="80"/>
    </row>
    <row r="659" ht="15.75" customHeight="1">
      <c r="G659" s="80"/>
    </row>
    <row r="660" ht="15.75" customHeight="1">
      <c r="G660" s="80"/>
    </row>
    <row r="661" ht="15.75" customHeight="1">
      <c r="G661" s="80"/>
    </row>
    <row r="662" ht="15.75" customHeight="1">
      <c r="G662" s="80"/>
    </row>
    <row r="663" ht="15.75" customHeight="1">
      <c r="G663" s="80"/>
    </row>
    <row r="664" ht="15.75" customHeight="1">
      <c r="G664" s="80"/>
    </row>
    <row r="665" ht="15.75" customHeight="1">
      <c r="G665" s="80"/>
    </row>
    <row r="666" ht="15.75" customHeight="1">
      <c r="G666" s="80"/>
    </row>
    <row r="667" ht="15.75" customHeight="1">
      <c r="G667" s="80"/>
    </row>
    <row r="668" ht="15.75" customHeight="1">
      <c r="G668" s="80"/>
    </row>
    <row r="669" ht="15.75" customHeight="1">
      <c r="G669" s="80"/>
    </row>
    <row r="670" ht="15.75" customHeight="1">
      <c r="G670" s="80"/>
    </row>
    <row r="671" ht="15.75" customHeight="1">
      <c r="G671" s="80"/>
    </row>
    <row r="672" ht="15.75" customHeight="1">
      <c r="G672" s="80"/>
    </row>
    <row r="673" ht="15.75" customHeight="1">
      <c r="G673" s="80"/>
    </row>
    <row r="674" ht="15.75" customHeight="1">
      <c r="G674" s="80"/>
    </row>
    <row r="675" ht="15.75" customHeight="1">
      <c r="G675" s="80"/>
    </row>
    <row r="676" ht="15.75" customHeight="1">
      <c r="G676" s="80"/>
    </row>
    <row r="677" ht="15.75" customHeight="1">
      <c r="G677" s="80"/>
    </row>
    <row r="678" ht="15.75" customHeight="1">
      <c r="G678" s="80"/>
    </row>
    <row r="679" ht="15.75" customHeight="1">
      <c r="G679" s="80"/>
    </row>
    <row r="680" ht="15.75" customHeight="1">
      <c r="G680" s="80"/>
    </row>
    <row r="681" ht="15.75" customHeight="1">
      <c r="G681" s="80"/>
    </row>
    <row r="682" ht="15.75" customHeight="1">
      <c r="G682" s="80"/>
    </row>
    <row r="683" ht="15.75" customHeight="1">
      <c r="G683" s="80"/>
    </row>
    <row r="684" ht="15.75" customHeight="1">
      <c r="G684" s="80"/>
    </row>
    <row r="685" ht="15.75" customHeight="1">
      <c r="G685" s="80"/>
    </row>
    <row r="686" ht="15.75" customHeight="1">
      <c r="G686" s="80"/>
    </row>
    <row r="687" ht="15.75" customHeight="1">
      <c r="G687" s="80"/>
    </row>
    <row r="688" ht="15.75" customHeight="1">
      <c r="G688" s="80"/>
    </row>
    <row r="689" ht="15.75" customHeight="1">
      <c r="G689" s="80"/>
    </row>
    <row r="690" ht="15.75" customHeight="1">
      <c r="G690" s="80"/>
    </row>
    <row r="691" ht="15.75" customHeight="1">
      <c r="G691" s="80"/>
    </row>
    <row r="692" ht="15.75" customHeight="1">
      <c r="G692" s="80"/>
    </row>
    <row r="693" ht="15.75" customHeight="1">
      <c r="G693" s="80"/>
    </row>
    <row r="694" ht="15.75" customHeight="1">
      <c r="G694" s="80"/>
    </row>
    <row r="695" ht="15.75" customHeight="1">
      <c r="G695" s="80"/>
    </row>
    <row r="696" ht="15.75" customHeight="1">
      <c r="G696" s="80"/>
    </row>
    <row r="697" ht="15.75" customHeight="1">
      <c r="G697" s="80"/>
    </row>
    <row r="698" ht="15.75" customHeight="1">
      <c r="G698" s="80"/>
    </row>
    <row r="699" ht="15.75" customHeight="1">
      <c r="G699" s="80"/>
    </row>
    <row r="700" ht="15.75" customHeight="1">
      <c r="G700" s="80"/>
    </row>
    <row r="701" ht="15.75" customHeight="1">
      <c r="G701" s="80"/>
    </row>
    <row r="702" ht="15.75" customHeight="1">
      <c r="G702" s="80"/>
    </row>
    <row r="703" ht="15.75" customHeight="1">
      <c r="G703" s="80"/>
    </row>
    <row r="704" ht="15.75" customHeight="1">
      <c r="G704" s="80"/>
    </row>
    <row r="705" ht="15.75" customHeight="1">
      <c r="G705" s="80"/>
    </row>
    <row r="706" ht="15.75" customHeight="1">
      <c r="G706" s="80"/>
    </row>
    <row r="707" ht="15.75" customHeight="1">
      <c r="G707" s="80"/>
    </row>
    <row r="708" ht="15.75" customHeight="1">
      <c r="G708" s="80"/>
    </row>
    <row r="709" ht="15.75" customHeight="1">
      <c r="G709" s="80"/>
    </row>
    <row r="710" ht="15.75" customHeight="1">
      <c r="G710" s="80"/>
    </row>
    <row r="711" ht="15.75" customHeight="1">
      <c r="G711" s="80"/>
    </row>
    <row r="712" ht="15.75" customHeight="1">
      <c r="G712" s="80"/>
    </row>
    <row r="713" ht="15.75" customHeight="1">
      <c r="G713" s="80"/>
    </row>
    <row r="714" ht="15.75" customHeight="1">
      <c r="G714" s="80"/>
    </row>
    <row r="715" ht="15.75" customHeight="1">
      <c r="G715" s="80"/>
    </row>
    <row r="716" ht="15.75" customHeight="1">
      <c r="G716" s="80"/>
    </row>
    <row r="717" ht="15.75" customHeight="1">
      <c r="G717" s="80"/>
    </row>
    <row r="718" ht="15.75" customHeight="1">
      <c r="G718" s="80"/>
    </row>
    <row r="719" ht="15.75" customHeight="1">
      <c r="G719" s="80"/>
    </row>
    <row r="720" ht="15.75" customHeight="1">
      <c r="G720" s="80"/>
    </row>
    <row r="721" ht="15.75" customHeight="1">
      <c r="G721" s="80"/>
    </row>
    <row r="722" ht="15.75" customHeight="1">
      <c r="G722" s="80"/>
    </row>
    <row r="723" ht="15.75" customHeight="1">
      <c r="G723" s="80"/>
    </row>
    <row r="724" ht="15.75" customHeight="1">
      <c r="G724" s="80"/>
    </row>
    <row r="725" ht="15.75" customHeight="1">
      <c r="G725" s="80"/>
    </row>
    <row r="726" ht="15.75" customHeight="1">
      <c r="G726" s="80"/>
    </row>
    <row r="727" ht="15.75" customHeight="1">
      <c r="G727" s="80"/>
    </row>
    <row r="728" ht="15.75" customHeight="1">
      <c r="G728" s="80"/>
    </row>
    <row r="729" ht="15.75" customHeight="1">
      <c r="G729" s="80"/>
    </row>
    <row r="730" ht="15.75" customHeight="1">
      <c r="G730" s="80"/>
    </row>
    <row r="731" ht="15.75" customHeight="1">
      <c r="G731" s="80"/>
    </row>
    <row r="732" ht="15.75" customHeight="1">
      <c r="G732" s="80"/>
    </row>
    <row r="733" ht="15.75" customHeight="1">
      <c r="G733" s="80"/>
    </row>
    <row r="734" ht="15.75" customHeight="1">
      <c r="G734" s="80"/>
    </row>
    <row r="735" ht="15.75" customHeight="1">
      <c r="G735" s="80"/>
    </row>
    <row r="736" ht="15.75" customHeight="1">
      <c r="G736" s="80"/>
    </row>
    <row r="737" ht="15.75" customHeight="1">
      <c r="G737" s="80"/>
    </row>
    <row r="738" ht="15.75" customHeight="1">
      <c r="G738" s="80"/>
    </row>
    <row r="739" ht="15.75" customHeight="1">
      <c r="G739" s="80"/>
    </row>
    <row r="740" ht="15.75" customHeight="1">
      <c r="G740" s="80"/>
    </row>
    <row r="741" ht="15.75" customHeight="1">
      <c r="G741" s="80"/>
    </row>
    <row r="742" ht="15.75" customHeight="1">
      <c r="G742" s="80"/>
    </row>
    <row r="743" ht="15.75" customHeight="1">
      <c r="G743" s="80"/>
    </row>
    <row r="744" ht="15.75" customHeight="1">
      <c r="G744" s="80"/>
    </row>
    <row r="745" ht="15.75" customHeight="1">
      <c r="G745" s="80"/>
    </row>
    <row r="746" ht="15.75" customHeight="1">
      <c r="G746" s="80"/>
    </row>
    <row r="747" ht="15.75" customHeight="1">
      <c r="G747" s="80"/>
    </row>
    <row r="748" ht="15.75" customHeight="1">
      <c r="G748" s="80"/>
    </row>
    <row r="749" ht="15.75" customHeight="1">
      <c r="G749" s="80"/>
    </row>
    <row r="750" ht="15.75" customHeight="1">
      <c r="G750" s="80"/>
    </row>
    <row r="751" ht="15.75" customHeight="1">
      <c r="G751" s="80"/>
    </row>
    <row r="752" ht="15.75" customHeight="1">
      <c r="G752" s="80"/>
    </row>
    <row r="753" ht="15.75" customHeight="1">
      <c r="G753" s="80"/>
    </row>
    <row r="754" ht="15.75" customHeight="1">
      <c r="G754" s="80"/>
    </row>
    <row r="755" ht="15.75" customHeight="1">
      <c r="G755" s="80"/>
    </row>
    <row r="756" ht="15.75" customHeight="1">
      <c r="G756" s="80"/>
    </row>
    <row r="757" ht="15.75" customHeight="1">
      <c r="G757" s="80"/>
    </row>
    <row r="758" ht="15.75" customHeight="1">
      <c r="G758" s="80"/>
    </row>
    <row r="759" ht="15.75" customHeight="1">
      <c r="G759" s="80"/>
    </row>
    <row r="760" ht="15.75" customHeight="1">
      <c r="G760" s="80"/>
    </row>
    <row r="761" ht="15.75" customHeight="1">
      <c r="G761" s="80"/>
    </row>
    <row r="762" ht="15.75" customHeight="1">
      <c r="G762" s="80"/>
    </row>
    <row r="763" ht="15.75" customHeight="1">
      <c r="G763" s="80"/>
    </row>
    <row r="764" ht="15.75" customHeight="1">
      <c r="G764" s="80"/>
    </row>
    <row r="765" ht="15.75" customHeight="1">
      <c r="G765" s="80"/>
    </row>
    <row r="766" ht="15.75" customHeight="1">
      <c r="G766" s="80"/>
    </row>
    <row r="767" ht="15.75" customHeight="1">
      <c r="G767" s="80"/>
    </row>
    <row r="768" ht="15.75" customHeight="1">
      <c r="G768" s="80"/>
    </row>
    <row r="769" ht="15.75" customHeight="1">
      <c r="G769" s="80"/>
    </row>
    <row r="770" ht="15.75" customHeight="1">
      <c r="G770" s="80"/>
    </row>
    <row r="771" ht="15.75" customHeight="1">
      <c r="G771" s="80"/>
    </row>
    <row r="772" ht="15.75" customHeight="1">
      <c r="G772" s="80"/>
    </row>
    <row r="773" ht="15.75" customHeight="1">
      <c r="G773" s="80"/>
    </row>
    <row r="774" ht="15.75" customHeight="1">
      <c r="G774" s="80"/>
    </row>
    <row r="775" ht="15.75" customHeight="1">
      <c r="G775" s="80"/>
    </row>
    <row r="776" ht="15.75" customHeight="1">
      <c r="G776" s="80"/>
    </row>
    <row r="777" ht="15.75" customHeight="1">
      <c r="G777" s="80"/>
    </row>
    <row r="778" ht="15.75" customHeight="1">
      <c r="G778" s="80"/>
    </row>
    <row r="779" ht="15.75" customHeight="1">
      <c r="G779" s="80"/>
    </row>
    <row r="780" ht="15.75" customHeight="1">
      <c r="G780" s="80"/>
    </row>
    <row r="781" ht="15.75" customHeight="1">
      <c r="G781" s="80"/>
    </row>
    <row r="782" ht="15.75" customHeight="1">
      <c r="G782" s="80"/>
    </row>
    <row r="783" ht="15.75" customHeight="1">
      <c r="G783" s="80"/>
    </row>
    <row r="784" ht="15.75" customHeight="1">
      <c r="G784" s="80"/>
    </row>
    <row r="785" ht="15.75" customHeight="1">
      <c r="G785" s="80"/>
    </row>
    <row r="786" ht="15.75" customHeight="1">
      <c r="G786" s="80"/>
    </row>
    <row r="787" ht="15.75" customHeight="1">
      <c r="G787" s="80"/>
    </row>
    <row r="788" ht="15.75" customHeight="1">
      <c r="G788" s="80"/>
    </row>
    <row r="789" ht="15.75" customHeight="1">
      <c r="G789" s="80"/>
    </row>
    <row r="790" ht="15.75" customHeight="1">
      <c r="G790" s="80"/>
    </row>
    <row r="791" ht="15.75" customHeight="1">
      <c r="G791" s="80"/>
    </row>
    <row r="792" ht="15.75" customHeight="1">
      <c r="G792" s="80"/>
    </row>
    <row r="793" ht="15.75" customHeight="1">
      <c r="G793" s="80"/>
    </row>
    <row r="794" ht="15.75" customHeight="1">
      <c r="G794" s="80"/>
    </row>
    <row r="795" ht="15.75" customHeight="1">
      <c r="G795" s="80"/>
    </row>
    <row r="796" ht="15.75" customHeight="1">
      <c r="G796" s="80"/>
    </row>
    <row r="797" ht="15.75" customHeight="1">
      <c r="G797" s="80"/>
    </row>
    <row r="798" ht="15.75" customHeight="1">
      <c r="G798" s="80"/>
    </row>
    <row r="799" ht="15.75" customHeight="1">
      <c r="G799" s="80"/>
    </row>
    <row r="800" ht="15.75" customHeight="1">
      <c r="G800" s="80"/>
    </row>
    <row r="801" ht="15.75" customHeight="1">
      <c r="G801" s="80"/>
    </row>
    <row r="802" ht="15.75" customHeight="1">
      <c r="G802" s="80"/>
    </row>
    <row r="803" ht="15.75" customHeight="1">
      <c r="G803" s="80"/>
    </row>
    <row r="804" ht="15.75" customHeight="1">
      <c r="G804" s="80"/>
    </row>
    <row r="805" ht="15.75" customHeight="1">
      <c r="G805" s="80"/>
    </row>
    <row r="806" ht="15.75" customHeight="1">
      <c r="G806" s="80"/>
    </row>
    <row r="807" ht="15.75" customHeight="1">
      <c r="G807" s="80"/>
    </row>
    <row r="808" ht="15.75" customHeight="1">
      <c r="G808" s="80"/>
    </row>
    <row r="809" ht="15.75" customHeight="1">
      <c r="G809" s="80"/>
    </row>
    <row r="810" ht="15.75" customHeight="1">
      <c r="G810" s="80"/>
    </row>
    <row r="811" ht="15.75" customHeight="1">
      <c r="G811" s="80"/>
    </row>
    <row r="812" ht="15.75" customHeight="1">
      <c r="G812" s="80"/>
    </row>
    <row r="813" ht="15.75" customHeight="1">
      <c r="G813" s="80"/>
    </row>
    <row r="814" ht="15.75" customHeight="1">
      <c r="G814" s="80"/>
    </row>
    <row r="815" ht="15.75" customHeight="1">
      <c r="G815" s="80"/>
    </row>
    <row r="816" ht="15.75" customHeight="1">
      <c r="G816" s="80"/>
    </row>
    <row r="817" ht="15.75" customHeight="1">
      <c r="G817" s="80"/>
    </row>
    <row r="818" ht="15.75" customHeight="1">
      <c r="G818" s="80"/>
    </row>
    <row r="819" ht="15.75" customHeight="1">
      <c r="G819" s="80"/>
    </row>
    <row r="820" ht="15.75" customHeight="1">
      <c r="G820" s="80"/>
    </row>
    <row r="821" ht="15.75" customHeight="1">
      <c r="G821" s="80"/>
    </row>
    <row r="822" ht="15.75" customHeight="1">
      <c r="G822" s="80"/>
    </row>
    <row r="823" ht="15.75" customHeight="1">
      <c r="G823" s="80"/>
    </row>
    <row r="824" ht="15.75" customHeight="1">
      <c r="G824" s="80"/>
    </row>
    <row r="825" ht="15.75" customHeight="1">
      <c r="G825" s="80"/>
    </row>
    <row r="826" ht="15.75" customHeight="1">
      <c r="G826" s="80"/>
    </row>
    <row r="827" ht="15.75" customHeight="1">
      <c r="G827" s="80"/>
    </row>
    <row r="828" ht="15.75" customHeight="1">
      <c r="G828" s="80"/>
    </row>
    <row r="829" ht="15.75" customHeight="1">
      <c r="G829" s="80"/>
    </row>
    <row r="830" ht="15.75" customHeight="1">
      <c r="G830" s="80"/>
    </row>
    <row r="831" ht="15.75" customHeight="1">
      <c r="G831" s="80"/>
    </row>
    <row r="832" ht="15.75" customHeight="1">
      <c r="G832" s="80"/>
    </row>
    <row r="833" ht="15.75" customHeight="1">
      <c r="G833" s="80"/>
    </row>
    <row r="834" ht="15.75" customHeight="1">
      <c r="G834" s="80"/>
    </row>
    <row r="835" ht="15.75" customHeight="1">
      <c r="G835" s="80"/>
    </row>
    <row r="836" ht="15.75" customHeight="1">
      <c r="G836" s="80"/>
    </row>
    <row r="837" ht="15.75" customHeight="1">
      <c r="G837" s="80"/>
    </row>
    <row r="838" ht="15.75" customHeight="1">
      <c r="G838" s="80"/>
    </row>
    <row r="839" ht="15.75" customHeight="1">
      <c r="G839" s="80"/>
    </row>
    <row r="840" ht="15.75" customHeight="1">
      <c r="G840" s="80"/>
    </row>
    <row r="841" ht="15.75" customHeight="1">
      <c r="G841" s="80"/>
    </row>
    <row r="842" ht="15.75" customHeight="1">
      <c r="G842" s="80"/>
    </row>
    <row r="843" ht="15.75" customHeight="1">
      <c r="G843" s="80"/>
    </row>
    <row r="844" ht="15.75" customHeight="1">
      <c r="G844" s="80"/>
    </row>
    <row r="845" ht="15.75" customHeight="1">
      <c r="G845" s="80"/>
    </row>
    <row r="846" ht="15.75" customHeight="1">
      <c r="G846" s="80"/>
    </row>
    <row r="847" ht="15.75" customHeight="1">
      <c r="G847" s="80"/>
    </row>
    <row r="848" ht="15.75" customHeight="1">
      <c r="G848" s="80"/>
    </row>
    <row r="849" ht="15.75" customHeight="1">
      <c r="G849" s="80"/>
    </row>
    <row r="850" ht="15.75" customHeight="1">
      <c r="G850" s="80"/>
    </row>
    <row r="851" ht="15.75" customHeight="1">
      <c r="G851" s="80"/>
    </row>
    <row r="852" ht="15.75" customHeight="1">
      <c r="G852" s="80"/>
    </row>
    <row r="853" ht="15.75" customHeight="1">
      <c r="G853" s="80"/>
    </row>
    <row r="854" ht="15.75" customHeight="1">
      <c r="G854" s="80"/>
    </row>
    <row r="855" ht="15.75" customHeight="1">
      <c r="G855" s="80"/>
    </row>
    <row r="856" ht="15.75" customHeight="1">
      <c r="G856" s="80"/>
    </row>
    <row r="857" ht="15.75" customHeight="1">
      <c r="G857" s="80"/>
    </row>
    <row r="858" ht="15.75" customHeight="1">
      <c r="G858" s="80"/>
    </row>
    <row r="859" ht="15.75" customHeight="1">
      <c r="G859" s="80"/>
    </row>
    <row r="860" ht="15.75" customHeight="1">
      <c r="G860" s="80"/>
    </row>
    <row r="861" ht="15.75" customHeight="1">
      <c r="G861" s="80"/>
    </row>
    <row r="862" ht="15.75" customHeight="1">
      <c r="G862" s="80"/>
    </row>
    <row r="863" ht="15.75" customHeight="1">
      <c r="G863" s="80"/>
    </row>
    <row r="864" ht="15.75" customHeight="1">
      <c r="G864" s="80"/>
    </row>
    <row r="865" ht="15.75" customHeight="1">
      <c r="G865" s="80"/>
    </row>
    <row r="866" ht="15.75" customHeight="1">
      <c r="G866" s="80"/>
    </row>
    <row r="867" ht="15.75" customHeight="1">
      <c r="G867" s="80"/>
    </row>
    <row r="868" ht="15.75" customHeight="1">
      <c r="G868" s="80"/>
    </row>
    <row r="869" ht="15.75" customHeight="1">
      <c r="G869" s="80"/>
    </row>
    <row r="870" ht="15.75" customHeight="1">
      <c r="G870" s="80"/>
    </row>
    <row r="871" ht="15.75" customHeight="1">
      <c r="G871" s="80"/>
    </row>
    <row r="872" ht="15.75" customHeight="1">
      <c r="G872" s="80"/>
    </row>
    <row r="873" ht="15.75" customHeight="1">
      <c r="G873" s="80"/>
    </row>
    <row r="874" ht="15.75" customHeight="1">
      <c r="G874" s="80"/>
    </row>
    <row r="875" ht="15.75" customHeight="1">
      <c r="G875" s="80"/>
    </row>
    <row r="876" ht="15.75" customHeight="1">
      <c r="G876" s="80"/>
    </row>
    <row r="877" ht="15.75" customHeight="1">
      <c r="G877" s="80"/>
    </row>
    <row r="878" ht="15.75" customHeight="1">
      <c r="G878" s="80"/>
    </row>
    <row r="879" ht="15.75" customHeight="1">
      <c r="G879" s="80"/>
    </row>
    <row r="880" ht="15.75" customHeight="1">
      <c r="G880" s="80"/>
    </row>
    <row r="881" ht="15.75" customHeight="1">
      <c r="G881" s="80"/>
    </row>
    <row r="882" ht="15.75" customHeight="1">
      <c r="G882" s="80"/>
    </row>
    <row r="883" ht="15.75" customHeight="1">
      <c r="G883" s="80"/>
    </row>
    <row r="884" ht="15.75" customHeight="1">
      <c r="G884" s="80"/>
    </row>
    <row r="885" ht="15.75" customHeight="1">
      <c r="G885" s="80"/>
    </row>
    <row r="886" ht="15.75" customHeight="1">
      <c r="G886" s="80"/>
    </row>
    <row r="887" ht="15.75" customHeight="1">
      <c r="G887" s="80"/>
    </row>
    <row r="888" ht="15.75" customHeight="1">
      <c r="G888" s="80"/>
    </row>
    <row r="889" ht="15.75" customHeight="1">
      <c r="G889" s="80"/>
    </row>
    <row r="890" ht="15.75" customHeight="1">
      <c r="G890" s="80"/>
    </row>
    <row r="891" ht="15.75" customHeight="1">
      <c r="G891" s="80"/>
    </row>
    <row r="892" ht="15.75" customHeight="1">
      <c r="G892" s="80"/>
    </row>
    <row r="893" ht="15.75" customHeight="1">
      <c r="G893" s="80"/>
    </row>
    <row r="894" ht="15.75" customHeight="1">
      <c r="G894" s="80"/>
    </row>
    <row r="895" ht="15.75" customHeight="1">
      <c r="G895" s="80"/>
    </row>
    <row r="896" ht="15.75" customHeight="1">
      <c r="G896" s="80"/>
    </row>
    <row r="897" ht="15.75" customHeight="1">
      <c r="G897" s="80"/>
    </row>
    <row r="898" ht="15.75" customHeight="1">
      <c r="G898" s="80"/>
    </row>
    <row r="899" ht="15.75" customHeight="1">
      <c r="G899" s="80"/>
    </row>
    <row r="900" ht="15.75" customHeight="1">
      <c r="G900" s="80"/>
    </row>
    <row r="901" ht="15.75" customHeight="1">
      <c r="G901" s="80"/>
    </row>
    <row r="902" ht="15.75" customHeight="1">
      <c r="G902" s="80"/>
    </row>
    <row r="903" ht="15.75" customHeight="1">
      <c r="G903" s="80"/>
    </row>
    <row r="904" ht="15.75" customHeight="1">
      <c r="G904" s="80"/>
    </row>
    <row r="905" ht="15.75" customHeight="1">
      <c r="G905" s="80"/>
    </row>
    <row r="906" ht="15.75" customHeight="1">
      <c r="G906" s="80"/>
    </row>
    <row r="907" ht="15.75" customHeight="1">
      <c r="G907" s="80"/>
    </row>
    <row r="908" ht="15.75" customHeight="1">
      <c r="G908" s="80"/>
    </row>
    <row r="909" ht="15.75" customHeight="1">
      <c r="G909" s="80"/>
    </row>
    <row r="910" ht="15.75" customHeight="1">
      <c r="G910" s="80"/>
    </row>
    <row r="911" ht="15.75" customHeight="1">
      <c r="G911" s="80"/>
    </row>
    <row r="912" ht="15.75" customHeight="1">
      <c r="G912" s="80"/>
    </row>
    <row r="913" ht="15.75" customHeight="1">
      <c r="G913" s="80"/>
    </row>
    <row r="914" ht="15.75" customHeight="1">
      <c r="G914" s="80"/>
    </row>
    <row r="915" ht="15.75" customHeight="1">
      <c r="G915" s="80"/>
    </row>
    <row r="916" ht="15.75" customHeight="1">
      <c r="G916" s="80"/>
    </row>
    <row r="917" ht="15.75" customHeight="1">
      <c r="G917" s="80"/>
    </row>
    <row r="918" ht="15.75" customHeight="1">
      <c r="G918" s="80"/>
    </row>
    <row r="919" ht="15.75" customHeight="1">
      <c r="G919" s="80"/>
    </row>
    <row r="920" ht="15.75" customHeight="1">
      <c r="G920" s="80"/>
    </row>
    <row r="921" ht="15.75" customHeight="1">
      <c r="G921" s="80"/>
    </row>
    <row r="922" ht="15.75" customHeight="1">
      <c r="G922" s="80"/>
    </row>
    <row r="923" ht="15.75" customHeight="1">
      <c r="G923" s="80"/>
    </row>
    <row r="924" ht="15.75" customHeight="1">
      <c r="G924" s="80"/>
    </row>
    <row r="925" ht="15.75" customHeight="1">
      <c r="G925" s="80"/>
    </row>
    <row r="926" ht="15.75" customHeight="1">
      <c r="G926" s="80"/>
    </row>
    <row r="927" ht="15.75" customHeight="1">
      <c r="G927" s="80"/>
    </row>
    <row r="928" ht="15.75" customHeight="1">
      <c r="G928" s="80"/>
    </row>
    <row r="929" ht="15.75" customHeight="1">
      <c r="G929" s="80"/>
    </row>
    <row r="930" ht="15.75" customHeight="1">
      <c r="G930" s="80"/>
    </row>
    <row r="931" ht="15.75" customHeight="1">
      <c r="G931" s="80"/>
    </row>
    <row r="932" ht="15.75" customHeight="1">
      <c r="G932" s="80"/>
    </row>
    <row r="933" ht="15.75" customHeight="1">
      <c r="G933" s="80"/>
    </row>
    <row r="934" ht="15.75" customHeight="1">
      <c r="G934" s="80"/>
    </row>
    <row r="935" ht="15.75" customHeight="1">
      <c r="G935" s="80"/>
    </row>
    <row r="936" ht="15.75" customHeight="1">
      <c r="G936" s="80"/>
    </row>
    <row r="937" ht="15.75" customHeight="1">
      <c r="G937" s="80"/>
    </row>
    <row r="938" ht="15.75" customHeight="1">
      <c r="G938" s="80"/>
    </row>
    <row r="939" ht="15.75" customHeight="1">
      <c r="G939" s="80"/>
    </row>
    <row r="940" ht="15.75" customHeight="1">
      <c r="G940" s="80"/>
    </row>
    <row r="941" ht="15.75" customHeight="1">
      <c r="G941" s="80"/>
    </row>
    <row r="942" ht="15.75" customHeight="1">
      <c r="G942" s="80"/>
    </row>
    <row r="943" ht="15.75" customHeight="1">
      <c r="G943" s="80"/>
    </row>
    <row r="944" ht="15.75" customHeight="1">
      <c r="G944" s="80"/>
    </row>
    <row r="945" ht="15.75" customHeight="1">
      <c r="G945" s="80"/>
    </row>
    <row r="946" ht="15.75" customHeight="1">
      <c r="G946" s="80"/>
    </row>
    <row r="947" ht="15.75" customHeight="1">
      <c r="G947" s="80"/>
    </row>
    <row r="948" ht="15.75" customHeight="1">
      <c r="G948" s="80"/>
    </row>
    <row r="949" ht="15.75" customHeight="1">
      <c r="G949" s="80"/>
    </row>
    <row r="950" ht="15.75" customHeight="1">
      <c r="G950" s="80"/>
    </row>
    <row r="951" ht="15.75" customHeight="1">
      <c r="G951" s="80"/>
    </row>
  </sheetData>
  <mergeCells count="143">
    <mergeCell ref="AA4:AF4"/>
    <mergeCell ref="AG4:AI4"/>
    <mergeCell ref="G1:AI1"/>
    <mergeCell ref="G2:Z4"/>
    <mergeCell ref="AA2:AF2"/>
    <mergeCell ref="AG2:AI2"/>
    <mergeCell ref="AA3:AF3"/>
    <mergeCell ref="AG3:AI3"/>
    <mergeCell ref="A5:AI5"/>
    <mergeCell ref="AC6:AD6"/>
    <mergeCell ref="AE6:AF6"/>
    <mergeCell ref="AG6:AI6"/>
    <mergeCell ref="O6:P6"/>
    <mergeCell ref="Q6:R6"/>
    <mergeCell ref="S6:T6"/>
    <mergeCell ref="U6:V6"/>
    <mergeCell ref="W6:X6"/>
    <mergeCell ref="Y6:Z6"/>
    <mergeCell ref="AA6:AB6"/>
    <mergeCell ref="A1:F4"/>
    <mergeCell ref="A6:F7"/>
    <mergeCell ref="G6:G7"/>
    <mergeCell ref="H6:H7"/>
    <mergeCell ref="I6:J6"/>
    <mergeCell ref="K6:L6"/>
    <mergeCell ref="M6:N6"/>
    <mergeCell ref="A8:F8"/>
    <mergeCell ref="A9:F9"/>
    <mergeCell ref="A10:F10"/>
    <mergeCell ref="A11:F11"/>
    <mergeCell ref="A12:F12"/>
    <mergeCell ref="A13:F13"/>
    <mergeCell ref="A14:F14"/>
    <mergeCell ref="A29:AF29"/>
    <mergeCell ref="A30:AF30"/>
    <mergeCell ref="U33:V33"/>
    <mergeCell ref="W33:X33"/>
    <mergeCell ref="E33:G33"/>
    <mergeCell ref="I33:J33"/>
    <mergeCell ref="K33:L33"/>
    <mergeCell ref="M33:N33"/>
    <mergeCell ref="O33:P33"/>
    <mergeCell ref="Q33:R33"/>
    <mergeCell ref="S33:T33"/>
    <mergeCell ref="A33:D33"/>
    <mergeCell ref="I34:J34"/>
    <mergeCell ref="K34:L34"/>
    <mergeCell ref="M34:N34"/>
    <mergeCell ref="O34:P34"/>
    <mergeCell ref="Q34:R34"/>
    <mergeCell ref="S34:T34"/>
    <mergeCell ref="A34:E34"/>
    <mergeCell ref="I35:J35"/>
    <mergeCell ref="K35:L35"/>
    <mergeCell ref="M35:N35"/>
    <mergeCell ref="O35:P35"/>
    <mergeCell ref="Q35:R35"/>
    <mergeCell ref="S35:T35"/>
    <mergeCell ref="AC36:AD36"/>
    <mergeCell ref="AE36:AF36"/>
    <mergeCell ref="W37:X37"/>
    <mergeCell ref="Y37:Z37"/>
    <mergeCell ref="AA37:AB37"/>
    <mergeCell ref="AC37:AD37"/>
    <mergeCell ref="U32:V32"/>
    <mergeCell ref="U38:V38"/>
    <mergeCell ref="W38:X38"/>
    <mergeCell ref="Y38:Z38"/>
    <mergeCell ref="AA38:AB38"/>
    <mergeCell ref="AC38:AD38"/>
    <mergeCell ref="W32:X32"/>
    <mergeCell ref="Y32:Z32"/>
    <mergeCell ref="AA32:AB32"/>
    <mergeCell ref="AC32:AD32"/>
    <mergeCell ref="AE32:AF32"/>
    <mergeCell ref="AG32:AJ38"/>
    <mergeCell ref="AE37:AF37"/>
    <mergeCell ref="AE38:AF38"/>
    <mergeCell ref="Y34:Z34"/>
    <mergeCell ref="AA34:AB34"/>
    <mergeCell ref="AC34:AD34"/>
    <mergeCell ref="AE34:AF34"/>
    <mergeCell ref="U35:V35"/>
    <mergeCell ref="W35:X35"/>
    <mergeCell ref="Y35:Z35"/>
    <mergeCell ref="AA35:AB35"/>
    <mergeCell ref="AC35:AD35"/>
    <mergeCell ref="AE35:AF35"/>
    <mergeCell ref="U36:V36"/>
    <mergeCell ref="W36:X36"/>
    <mergeCell ref="Y36:Z36"/>
    <mergeCell ref="AA36:AB36"/>
    <mergeCell ref="A35:G35"/>
    <mergeCell ref="I36:J36"/>
    <mergeCell ref="K36:L36"/>
    <mergeCell ref="M36:N36"/>
    <mergeCell ref="O36:P36"/>
    <mergeCell ref="Q36:R36"/>
    <mergeCell ref="S36:T36"/>
    <mergeCell ref="I37:J37"/>
    <mergeCell ref="I38:J38"/>
    <mergeCell ref="K38:L38"/>
    <mergeCell ref="M38:N38"/>
    <mergeCell ref="O38:P38"/>
    <mergeCell ref="Q38:R38"/>
    <mergeCell ref="S38:T38"/>
    <mergeCell ref="A39:AI39"/>
    <mergeCell ref="A36:G36"/>
    <mergeCell ref="A37:D37"/>
    <mergeCell ref="K37:L37"/>
    <mergeCell ref="M37:N37"/>
    <mergeCell ref="O37:P37"/>
    <mergeCell ref="Q37:R37"/>
    <mergeCell ref="A38:E38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2:G32"/>
    <mergeCell ref="I32:J32"/>
    <mergeCell ref="K32:L32"/>
    <mergeCell ref="M32:N32"/>
    <mergeCell ref="O32:P32"/>
    <mergeCell ref="Q32:R32"/>
    <mergeCell ref="S32:T32"/>
    <mergeCell ref="Y33:Z33"/>
    <mergeCell ref="AA33:AB33"/>
    <mergeCell ref="AC33:AD33"/>
    <mergeCell ref="AE33:AF33"/>
    <mergeCell ref="U34:V34"/>
    <mergeCell ref="W34:X34"/>
    <mergeCell ref="S37:T37"/>
    <mergeCell ref="U37:V37"/>
  </mergeCells>
  <conditionalFormatting sqref="I7 K7 M7 O7 Q7 S7 U7 W7 Y7 AA7 AC7 AE7 AG7">
    <cfRule type="cellIs" dxfId="0" priority="1" stopIfTrue="1" operator="equal">
      <formula>"""P"""</formula>
    </cfRule>
  </conditionalFormatting>
  <conditionalFormatting sqref="I8:O8 I9:R11 I12:AF22 I23:AI28 S8:Y8 S9:AF10 AB8:AF8">
    <cfRule type="cellIs" dxfId="1" priority="2" stopIfTrue="1" operator="equal">
      <formula>"P"</formula>
    </cfRule>
  </conditionalFormatting>
  <conditionalFormatting sqref="I8:O8 I9:R11 I12:AF22 I23:AI28 S8:Y8 S9:AF10 AB8:AF8">
    <cfRule type="cellIs" dxfId="2" priority="3" stopIfTrue="1" operator="equal">
      <formula>"E"</formula>
    </cfRule>
  </conditionalFormatting>
  <conditionalFormatting sqref="S11:AF11">
    <cfRule type="cellIs" dxfId="1" priority="4" stopIfTrue="1" operator="equal">
      <formula>"P"</formula>
    </cfRule>
  </conditionalFormatting>
  <conditionalFormatting sqref="S11:AF11">
    <cfRule type="cellIs" dxfId="2" priority="5" stopIfTrue="1" operator="equal">
      <formula>"E"</formula>
    </cfRule>
  </conditionalFormatting>
  <conditionalFormatting sqref="AA8">
    <cfRule type="cellIs" dxfId="1" priority="6" stopIfTrue="1" operator="equal">
      <formula>"P"</formula>
    </cfRule>
  </conditionalFormatting>
  <conditionalFormatting sqref="AA8">
    <cfRule type="cellIs" dxfId="2" priority="7" stopIfTrue="1" operator="equal">
      <formula>"E"</formula>
    </cfRule>
  </conditionalFormatting>
  <conditionalFormatting sqref="P8:R8">
    <cfRule type="cellIs" dxfId="1" priority="8" stopIfTrue="1" operator="equal">
      <formula>"P"</formula>
    </cfRule>
  </conditionalFormatting>
  <conditionalFormatting sqref="P8:R8">
    <cfRule type="cellIs" dxfId="2" priority="9" stopIfTrue="1" operator="equal">
      <formula>"E"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8.71"/>
    <col customWidth="1" min="3" max="3" width="9.71"/>
    <col customWidth="1" min="4" max="4" width="8.57"/>
    <col customWidth="1" min="5" max="5" width="8.86"/>
    <col customWidth="1" min="6" max="6" width="7.57"/>
    <col customWidth="1" min="7" max="7" width="4.0"/>
    <col customWidth="1" min="8" max="8" width="2.71"/>
    <col customWidth="1" min="9" max="9" width="2.29"/>
    <col customWidth="1" min="10" max="10" width="8.29"/>
    <col customWidth="1" min="11" max="11" width="2.0"/>
    <col customWidth="1" min="12" max="12" width="2.43"/>
    <col customWidth="1" min="13" max="13" width="2.71"/>
    <col customWidth="1" min="14" max="14" width="7.0"/>
    <col customWidth="1" min="15" max="15" width="5.14"/>
    <col customWidth="1" min="16" max="16" width="2.29"/>
    <col customWidth="1" min="17" max="17" width="1.71"/>
    <col customWidth="1" min="18" max="18" width="4.29"/>
    <col customWidth="1" min="19" max="19" width="6.14"/>
    <col customWidth="1" min="20" max="21" width="4.0"/>
    <col customWidth="1" min="22" max="24" width="5.86"/>
    <col customWidth="1" min="25" max="25" width="18.71"/>
    <col customWidth="1" min="26" max="26" width="12.14"/>
    <col customWidth="1" min="27" max="27" width="30.71"/>
    <col customWidth="1" min="28" max="28" width="16.86"/>
    <col customWidth="1" min="29" max="29" width="5.29"/>
  </cols>
  <sheetData>
    <row r="1" ht="24.75" customHeight="1">
      <c r="A1" s="110"/>
      <c r="B1" s="111"/>
      <c r="C1" s="112" t="s">
        <v>85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  <c r="S1" s="113"/>
      <c r="T1" s="10"/>
      <c r="U1" s="10"/>
      <c r="V1" s="10"/>
      <c r="W1" s="10"/>
      <c r="X1" s="11"/>
      <c r="Y1" s="110"/>
      <c r="Z1" s="110"/>
      <c r="AA1" s="110"/>
      <c r="AB1" s="110"/>
      <c r="AC1" s="110"/>
    </row>
    <row r="2" ht="24.75" customHeight="1">
      <c r="A2" s="110"/>
      <c r="B2" s="114"/>
      <c r="C2" s="115" t="s">
        <v>86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  <c r="S2" s="16"/>
      <c r="X2" s="8"/>
      <c r="Y2" s="110"/>
      <c r="Z2" s="110"/>
      <c r="AA2" s="110"/>
      <c r="AB2" s="110"/>
      <c r="AC2" s="110"/>
    </row>
    <row r="3" ht="24.75" customHeight="1">
      <c r="A3" s="110"/>
      <c r="B3" s="114"/>
      <c r="C3" s="16"/>
      <c r="R3" s="8"/>
      <c r="S3" s="16"/>
      <c r="X3" s="8"/>
      <c r="Y3" s="110"/>
      <c r="Z3" s="110"/>
      <c r="AA3" s="110"/>
      <c r="AB3" s="110"/>
      <c r="AC3" s="110"/>
    </row>
    <row r="4" ht="24.75" customHeight="1">
      <c r="A4" s="110"/>
      <c r="B4" s="116"/>
      <c r="C4" s="117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109"/>
      <c r="S4" s="117"/>
      <c r="T4" s="89"/>
      <c r="U4" s="89"/>
      <c r="V4" s="89"/>
      <c r="W4" s="89"/>
      <c r="X4" s="109"/>
      <c r="Y4" s="110"/>
      <c r="Z4" s="110"/>
      <c r="AA4" s="110"/>
      <c r="AB4" s="110"/>
      <c r="AC4" s="110"/>
    </row>
    <row r="5" ht="14.25" customHeight="1">
      <c r="A5" s="110"/>
      <c r="B5" s="118" t="s">
        <v>87</v>
      </c>
      <c r="C5" s="119" t="s">
        <v>88</v>
      </c>
      <c r="D5" s="14"/>
      <c r="E5" s="120" t="s">
        <v>89</v>
      </c>
      <c r="F5" s="13"/>
      <c r="G5" s="14"/>
      <c r="H5" s="121" t="s">
        <v>90</v>
      </c>
      <c r="I5" s="13"/>
      <c r="J5" s="14"/>
      <c r="K5" s="120" t="s">
        <v>91</v>
      </c>
      <c r="L5" s="13"/>
      <c r="M5" s="13"/>
      <c r="N5" s="14"/>
      <c r="O5" s="119">
        <v>2022.0</v>
      </c>
      <c r="P5" s="13"/>
      <c r="Q5" s="13"/>
      <c r="R5" s="14"/>
      <c r="S5" s="120" t="s">
        <v>92</v>
      </c>
      <c r="T5" s="13"/>
      <c r="U5" s="13"/>
      <c r="V5" s="14"/>
      <c r="W5" s="119" t="s">
        <v>93</v>
      </c>
      <c r="X5" s="14"/>
      <c r="Y5" s="110"/>
      <c r="Z5" s="110"/>
      <c r="AA5" s="110"/>
      <c r="AB5" s="110"/>
      <c r="AC5" s="110"/>
    </row>
    <row r="6" ht="9.0" customHeight="1">
      <c r="A6" s="110"/>
      <c r="B6" s="12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110"/>
      <c r="Z6" s="110"/>
      <c r="AA6" s="110"/>
      <c r="AB6" s="123"/>
      <c r="AC6" s="123"/>
    </row>
    <row r="7" ht="18.75" customHeight="1">
      <c r="A7" s="110"/>
      <c r="B7" s="112" t="s">
        <v>94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4"/>
      <c r="Y7" s="110"/>
      <c r="Z7" s="110"/>
      <c r="AA7" s="110"/>
      <c r="AB7" s="123"/>
      <c r="AC7" s="123"/>
    </row>
    <row r="8" ht="15.0" customHeight="1">
      <c r="A8" s="110"/>
      <c r="B8" s="122" t="s">
        <v>95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  <c r="Y8" s="110"/>
      <c r="Z8" s="110"/>
      <c r="AA8" s="110"/>
      <c r="AB8" s="123"/>
      <c r="AC8" s="123"/>
    </row>
    <row r="9" ht="23.25" customHeight="1">
      <c r="A9" s="110"/>
      <c r="B9" s="124" t="s">
        <v>96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  <c r="Y9" s="110"/>
      <c r="Z9" s="110"/>
      <c r="AA9" s="110"/>
      <c r="AB9" s="123"/>
      <c r="AC9" s="123"/>
    </row>
    <row r="10" ht="12.0" customHeight="1">
      <c r="A10" s="110"/>
      <c r="B10" s="125" t="s">
        <v>97</v>
      </c>
      <c r="C10" s="10"/>
      <c r="D10" s="10"/>
      <c r="E10" s="10"/>
      <c r="F10" s="11"/>
      <c r="G10" s="126" t="s">
        <v>98</v>
      </c>
      <c r="H10" s="10"/>
      <c r="I10" s="10"/>
      <c r="J10" s="11"/>
      <c r="K10" s="125" t="s">
        <v>99</v>
      </c>
      <c r="L10" s="10"/>
      <c r="M10" s="10"/>
      <c r="N10" s="11"/>
      <c r="O10" s="122" t="s">
        <v>100</v>
      </c>
      <c r="P10" s="13"/>
      <c r="Q10" s="13"/>
      <c r="R10" s="13"/>
      <c r="S10" s="13"/>
      <c r="T10" s="13"/>
      <c r="U10" s="13"/>
      <c r="V10" s="13"/>
      <c r="W10" s="13"/>
      <c r="X10" s="14"/>
      <c r="Y10" s="127"/>
      <c r="Z10" s="127"/>
      <c r="AA10" s="127"/>
      <c r="AB10" s="123"/>
      <c r="AC10" s="123"/>
    </row>
    <row r="11" ht="21.75" customHeight="1">
      <c r="A11" s="110"/>
      <c r="B11" s="117"/>
      <c r="C11" s="89"/>
      <c r="D11" s="89"/>
      <c r="E11" s="89"/>
      <c r="F11" s="109"/>
      <c r="G11" s="117"/>
      <c r="H11" s="89"/>
      <c r="I11" s="89"/>
      <c r="J11" s="109"/>
      <c r="K11" s="117"/>
      <c r="L11" s="89"/>
      <c r="M11" s="89"/>
      <c r="N11" s="109"/>
      <c r="O11" s="122" t="s">
        <v>101</v>
      </c>
      <c r="P11" s="13"/>
      <c r="Q11" s="13"/>
      <c r="R11" s="14"/>
      <c r="S11" s="128" t="s">
        <v>102</v>
      </c>
      <c r="T11" s="13"/>
      <c r="U11" s="14"/>
      <c r="V11" s="128" t="s">
        <v>103</v>
      </c>
      <c r="W11" s="13"/>
      <c r="X11" s="14"/>
      <c r="Y11" s="127"/>
      <c r="Z11" s="127"/>
      <c r="AA11" s="127"/>
      <c r="AB11" s="123"/>
      <c r="AC11" s="123"/>
    </row>
    <row r="12" ht="29.25" customHeight="1">
      <c r="A12" s="110"/>
      <c r="B12" s="129" t="s">
        <v>104</v>
      </c>
      <c r="C12" s="13"/>
      <c r="D12" s="13"/>
      <c r="E12" s="13"/>
      <c r="F12" s="14"/>
      <c r="G12" s="130"/>
      <c r="H12" s="13"/>
      <c r="I12" s="13"/>
      <c r="J12" s="14"/>
      <c r="K12" s="130">
        <v>0.9</v>
      </c>
      <c r="L12" s="13"/>
      <c r="M12" s="13"/>
      <c r="N12" s="14"/>
      <c r="O12" s="130">
        <v>0.95</v>
      </c>
      <c r="P12" s="13"/>
      <c r="Q12" s="13"/>
      <c r="R12" s="14"/>
      <c r="S12" s="119" t="s">
        <v>105</v>
      </c>
      <c r="T12" s="13"/>
      <c r="U12" s="14"/>
      <c r="V12" s="131">
        <v>2024.0</v>
      </c>
      <c r="W12" s="13"/>
      <c r="X12" s="14"/>
      <c r="Y12" s="110"/>
      <c r="Z12" s="110"/>
      <c r="AA12" s="110"/>
      <c r="AB12" s="123"/>
      <c r="AC12" s="123"/>
    </row>
    <row r="13" ht="18.0" customHeight="1">
      <c r="A13" s="110"/>
      <c r="B13" s="112" t="s">
        <v>106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/>
      <c r="Y13" s="110"/>
      <c r="Z13" s="110" t="s">
        <v>107</v>
      </c>
      <c r="AA13" s="110"/>
      <c r="AB13" s="123"/>
      <c r="AC13" s="123"/>
    </row>
    <row r="14" ht="22.5" customHeight="1">
      <c r="A14" s="110"/>
      <c r="B14" s="128" t="s">
        <v>108</v>
      </c>
      <c r="C14" s="122" t="s">
        <v>109</v>
      </c>
      <c r="D14" s="14"/>
      <c r="E14" s="122" t="s">
        <v>110</v>
      </c>
      <c r="F14" s="14"/>
      <c r="G14" s="128" t="s">
        <v>111</v>
      </c>
      <c r="H14" s="13"/>
      <c r="I14" s="13"/>
      <c r="J14" s="13"/>
      <c r="K14" s="13"/>
      <c r="L14" s="14"/>
      <c r="M14" s="128" t="s">
        <v>112</v>
      </c>
      <c r="N14" s="13"/>
      <c r="O14" s="13"/>
      <c r="P14" s="13"/>
      <c r="Q14" s="13"/>
      <c r="R14" s="14"/>
      <c r="S14" s="128" t="s">
        <v>113</v>
      </c>
      <c r="T14" s="13"/>
      <c r="U14" s="13"/>
      <c r="V14" s="13"/>
      <c r="W14" s="13"/>
      <c r="X14" s="14"/>
      <c r="Y14" s="110"/>
      <c r="Z14" s="110"/>
      <c r="AA14" s="110"/>
      <c r="AB14" s="123"/>
      <c r="AC14" s="123"/>
    </row>
    <row r="15" ht="28.5" customHeight="1">
      <c r="A15" s="110"/>
      <c r="B15" s="130">
        <v>1.0</v>
      </c>
      <c r="C15" s="119" t="s">
        <v>114</v>
      </c>
      <c r="D15" s="14"/>
      <c r="E15" s="130">
        <v>0.95</v>
      </c>
      <c r="F15" s="14"/>
      <c r="G15" s="119" t="s">
        <v>115</v>
      </c>
      <c r="H15" s="13"/>
      <c r="I15" s="13"/>
      <c r="J15" s="13"/>
      <c r="K15" s="13"/>
      <c r="L15" s="14"/>
      <c r="M15" s="119" t="s">
        <v>115</v>
      </c>
      <c r="N15" s="13"/>
      <c r="O15" s="13"/>
      <c r="P15" s="13"/>
      <c r="Q15" s="13"/>
      <c r="R15" s="14"/>
      <c r="S15" s="129"/>
      <c r="T15" s="13"/>
      <c r="U15" s="13"/>
      <c r="V15" s="13"/>
      <c r="W15" s="13"/>
      <c r="X15" s="14"/>
      <c r="Y15" s="110"/>
      <c r="Z15" s="110"/>
      <c r="AA15" s="110"/>
      <c r="AB15" s="123"/>
      <c r="AC15" s="123"/>
    </row>
    <row r="16" ht="24.75" customHeight="1">
      <c r="A16" s="110"/>
      <c r="B16" s="122" t="s">
        <v>116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22" t="s">
        <v>117</v>
      </c>
      <c r="O16" s="13"/>
      <c r="P16" s="13"/>
      <c r="Q16" s="13"/>
      <c r="R16" s="13"/>
      <c r="S16" s="13"/>
      <c r="T16" s="13"/>
      <c r="U16" s="13"/>
      <c r="V16" s="13"/>
      <c r="W16" s="13"/>
      <c r="X16" s="14"/>
      <c r="Y16" s="110"/>
      <c r="Z16" s="110"/>
      <c r="AA16" s="110"/>
      <c r="AB16" s="123"/>
      <c r="AC16" s="123"/>
    </row>
    <row r="17" ht="45.0" customHeight="1">
      <c r="A17" s="123"/>
      <c r="B17" s="132" t="s">
        <v>118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33" t="s">
        <v>119</v>
      </c>
      <c r="O17" s="13"/>
      <c r="P17" s="13"/>
      <c r="Q17" s="13"/>
      <c r="R17" s="13"/>
      <c r="S17" s="13"/>
      <c r="T17" s="13"/>
      <c r="U17" s="13"/>
      <c r="V17" s="13"/>
      <c r="W17" s="13"/>
      <c r="X17" s="14"/>
      <c r="Y17" s="110"/>
      <c r="Z17" s="110"/>
      <c r="AA17" s="134"/>
      <c r="AB17" s="123"/>
      <c r="AC17" s="123"/>
    </row>
    <row r="18" ht="18.75" customHeight="1">
      <c r="A18" s="123"/>
      <c r="B18" s="112" t="s">
        <v>120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Y18" s="110"/>
      <c r="Z18" s="110"/>
      <c r="AA18" s="110"/>
      <c r="AB18" s="123"/>
      <c r="AC18" s="123"/>
    </row>
    <row r="19" ht="18.75" customHeight="1">
      <c r="A19" s="123"/>
      <c r="B19" s="135" t="s">
        <v>121</v>
      </c>
      <c r="C19" s="14"/>
      <c r="D19" s="136" t="s">
        <v>10</v>
      </c>
      <c r="E19" s="136" t="s">
        <v>11</v>
      </c>
      <c r="F19" s="136" t="s">
        <v>12</v>
      </c>
      <c r="G19" s="122" t="s">
        <v>13</v>
      </c>
      <c r="H19" s="13"/>
      <c r="I19" s="14"/>
      <c r="J19" s="136" t="s">
        <v>14</v>
      </c>
      <c r="K19" s="122" t="s">
        <v>15</v>
      </c>
      <c r="L19" s="13"/>
      <c r="M19" s="14"/>
      <c r="N19" s="137" t="s">
        <v>16</v>
      </c>
      <c r="O19" s="122" t="s">
        <v>122</v>
      </c>
      <c r="P19" s="14"/>
      <c r="Q19" s="122" t="s">
        <v>123</v>
      </c>
      <c r="R19" s="13"/>
      <c r="S19" s="14"/>
      <c r="T19" s="128" t="s">
        <v>19</v>
      </c>
      <c r="U19" s="14"/>
      <c r="V19" s="128" t="s">
        <v>20</v>
      </c>
      <c r="W19" s="14"/>
      <c r="X19" s="137" t="s">
        <v>21</v>
      </c>
      <c r="Y19" s="110"/>
      <c r="Z19" s="110"/>
      <c r="AA19" s="110"/>
      <c r="AB19" s="123"/>
      <c r="AC19" s="123"/>
    </row>
    <row r="20" ht="18.75" customHeight="1">
      <c r="A20" s="123"/>
      <c r="B20" s="135" t="s">
        <v>124</v>
      </c>
      <c r="C20" s="14"/>
      <c r="D20" s="138"/>
      <c r="E20" s="138"/>
      <c r="F20" s="138"/>
      <c r="G20" s="119"/>
      <c r="H20" s="13"/>
      <c r="I20" s="14"/>
      <c r="J20" s="138"/>
      <c r="K20" s="119"/>
      <c r="L20" s="13"/>
      <c r="M20" s="14"/>
      <c r="N20" s="138"/>
      <c r="O20" s="119"/>
      <c r="P20" s="14"/>
      <c r="Q20" s="119"/>
      <c r="R20" s="13"/>
      <c r="S20" s="14"/>
      <c r="T20" s="119"/>
      <c r="U20" s="14"/>
      <c r="V20" s="119"/>
      <c r="W20" s="14"/>
      <c r="X20" s="138"/>
      <c r="Y20" s="110"/>
      <c r="Z20" s="139"/>
      <c r="AA20" s="139"/>
      <c r="AB20" s="123"/>
      <c r="AC20" s="123"/>
    </row>
    <row r="21" ht="18.75" customHeight="1">
      <c r="A21" s="123"/>
      <c r="B21" s="135" t="s">
        <v>125</v>
      </c>
      <c r="C21" s="14"/>
      <c r="D21" s="138"/>
      <c r="E21" s="138"/>
      <c r="F21" s="138"/>
      <c r="G21" s="119"/>
      <c r="H21" s="13"/>
      <c r="I21" s="14"/>
      <c r="J21" s="138"/>
      <c r="K21" s="119"/>
      <c r="L21" s="13"/>
      <c r="M21" s="14"/>
      <c r="N21" s="138"/>
      <c r="O21" s="119"/>
      <c r="P21" s="14"/>
      <c r="Q21" s="119"/>
      <c r="R21" s="13"/>
      <c r="S21" s="14"/>
      <c r="T21" s="119"/>
      <c r="U21" s="14"/>
      <c r="V21" s="119"/>
      <c r="W21" s="14"/>
      <c r="X21" s="138"/>
      <c r="Y21" s="134"/>
      <c r="Z21" s="110"/>
      <c r="AA21" s="110"/>
      <c r="AB21" s="123"/>
      <c r="AC21" s="123"/>
    </row>
    <row r="22" ht="19.5" customHeight="1">
      <c r="A22" s="123"/>
      <c r="B22" s="112" t="s">
        <v>126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  <c r="Y22" s="110"/>
      <c r="Z22" s="110"/>
      <c r="AA22" s="110"/>
      <c r="AB22" s="123"/>
      <c r="AC22" s="123"/>
    </row>
    <row r="23" ht="24.75" customHeight="1">
      <c r="A23" s="123"/>
      <c r="B23" s="136" t="s">
        <v>127</v>
      </c>
      <c r="C23" s="137" t="s">
        <v>128</v>
      </c>
      <c r="D23" s="137" t="s">
        <v>129</v>
      </c>
      <c r="E23" s="140" t="s">
        <v>130</v>
      </c>
      <c r="F23" s="141"/>
      <c r="G23" s="141"/>
      <c r="H23" s="141"/>
      <c r="I23" s="10"/>
      <c r="J23" s="141"/>
      <c r="K23" s="10"/>
      <c r="L23" s="10"/>
      <c r="M23" s="10"/>
      <c r="N23" s="141"/>
      <c r="O23" s="10"/>
      <c r="P23" s="141"/>
      <c r="Q23" s="10"/>
      <c r="R23" s="10"/>
      <c r="S23" s="141"/>
      <c r="T23" s="10"/>
      <c r="U23" s="10"/>
      <c r="V23" s="10"/>
      <c r="W23" s="10"/>
      <c r="X23" s="11"/>
      <c r="Y23" s="110"/>
      <c r="Z23" s="110"/>
      <c r="AA23" s="110"/>
      <c r="AB23" s="123"/>
      <c r="AC23" s="123"/>
    </row>
    <row r="24" ht="17.25" customHeight="1">
      <c r="A24" s="123"/>
      <c r="B24" s="136" t="s">
        <v>131</v>
      </c>
      <c r="C24" s="142">
        <f>IF(ISERROR($D$20/$D$21),0,$D$20/$D$21)</f>
        <v>0</v>
      </c>
      <c r="D24" s="143">
        <f t="shared" ref="D24:D35" si="1">$E$15</f>
        <v>0.95</v>
      </c>
      <c r="E24" s="143">
        <f t="shared" ref="E24:E35" si="2">$O$12</f>
        <v>0.95</v>
      </c>
      <c r="F24" s="110"/>
      <c r="G24" s="110"/>
      <c r="J24" s="110"/>
      <c r="L24" s="144"/>
      <c r="M24" s="145"/>
      <c r="S24" s="110"/>
      <c r="X24" s="8"/>
      <c r="Y24" s="110"/>
      <c r="Z24" s="110"/>
      <c r="AA24" s="110"/>
      <c r="AB24" s="123"/>
      <c r="AC24" s="123"/>
    </row>
    <row r="25" ht="17.25" customHeight="1">
      <c r="A25" s="123"/>
      <c r="B25" s="136" t="s">
        <v>132</v>
      </c>
      <c r="C25" s="142">
        <f>IF(ISERROR($E$20/$E$21),0,$E$20/$E$21)</f>
        <v>0</v>
      </c>
      <c r="D25" s="143">
        <f t="shared" si="1"/>
        <v>0.95</v>
      </c>
      <c r="E25" s="143">
        <f t="shared" si="2"/>
        <v>0.95</v>
      </c>
      <c r="F25" s="110"/>
      <c r="G25" s="110"/>
      <c r="H25" s="110"/>
      <c r="J25" s="110"/>
      <c r="L25" s="146"/>
      <c r="M25" s="144"/>
      <c r="N25" s="110"/>
      <c r="P25" s="110"/>
      <c r="X25" s="8"/>
      <c r="Y25" s="110"/>
      <c r="Z25" s="110"/>
      <c r="AA25" s="110"/>
      <c r="AB25" s="123"/>
      <c r="AC25" s="123"/>
    </row>
    <row r="26" ht="17.25" customHeight="1">
      <c r="A26" s="123"/>
      <c r="B26" s="136" t="s">
        <v>133</v>
      </c>
      <c r="C26" s="142">
        <f>IF(ISERROR($F$20/$F$21),0,$F$20/$F$21)</f>
        <v>0</v>
      </c>
      <c r="D26" s="143">
        <f t="shared" si="1"/>
        <v>0.95</v>
      </c>
      <c r="E26" s="143">
        <f t="shared" si="2"/>
        <v>0.95</v>
      </c>
      <c r="F26" s="110"/>
      <c r="G26" s="110"/>
      <c r="H26" s="110"/>
      <c r="J26" s="110"/>
      <c r="L26" s="146"/>
      <c r="M26" s="144"/>
      <c r="N26" s="110"/>
      <c r="P26" s="110"/>
      <c r="X26" s="8"/>
      <c r="Y26" s="110"/>
      <c r="Z26" s="110"/>
      <c r="AA26" s="110"/>
      <c r="AB26" s="123"/>
      <c r="AC26" s="123"/>
    </row>
    <row r="27" ht="17.25" customHeight="1">
      <c r="A27" s="123"/>
      <c r="B27" s="136" t="s">
        <v>134</v>
      </c>
      <c r="C27" s="142">
        <f>IF(ISERROR($G$20/$G$21),0,$G$20/$G$21)</f>
        <v>0</v>
      </c>
      <c r="D27" s="143">
        <f t="shared" si="1"/>
        <v>0.95</v>
      </c>
      <c r="E27" s="143">
        <f t="shared" si="2"/>
        <v>0.95</v>
      </c>
      <c r="F27" s="110"/>
      <c r="G27" s="110"/>
      <c r="H27" s="110"/>
      <c r="J27" s="110"/>
      <c r="L27" s="146"/>
      <c r="M27" s="144"/>
      <c r="N27" s="110"/>
      <c r="P27" s="110"/>
      <c r="X27" s="8"/>
      <c r="Y27" s="110"/>
      <c r="Z27" s="110"/>
      <c r="AA27" s="110"/>
      <c r="AB27" s="123"/>
      <c r="AC27" s="123"/>
    </row>
    <row r="28" ht="17.25" customHeight="1">
      <c r="A28" s="123"/>
      <c r="B28" s="136" t="s">
        <v>135</v>
      </c>
      <c r="C28" s="142">
        <f>IF(ISERROR($J$20/$J$21),0,$J$20/$J$21)</f>
        <v>0</v>
      </c>
      <c r="D28" s="143">
        <f t="shared" si="1"/>
        <v>0.95</v>
      </c>
      <c r="E28" s="143">
        <f t="shared" si="2"/>
        <v>0.95</v>
      </c>
      <c r="F28" s="110"/>
      <c r="G28" s="110"/>
      <c r="H28" s="110"/>
      <c r="J28" s="110"/>
      <c r="L28" s="146"/>
      <c r="M28" s="144"/>
      <c r="N28" s="110"/>
      <c r="P28" s="110"/>
      <c r="X28" s="8"/>
      <c r="Y28" s="110"/>
      <c r="Z28" s="110"/>
      <c r="AA28" s="110"/>
      <c r="AB28" s="123"/>
      <c r="AC28" s="123"/>
    </row>
    <row r="29" ht="17.25" customHeight="1">
      <c r="A29" s="123"/>
      <c r="B29" s="136" t="s">
        <v>136</v>
      </c>
      <c r="C29" s="142">
        <f>IF(ISERROR($K$20/$K$21),0,$K$20/$K$21)</f>
        <v>0</v>
      </c>
      <c r="D29" s="143">
        <f t="shared" si="1"/>
        <v>0.95</v>
      </c>
      <c r="E29" s="143">
        <f t="shared" si="2"/>
        <v>0.95</v>
      </c>
      <c r="F29" s="110"/>
      <c r="G29" s="110"/>
      <c r="H29" s="110"/>
      <c r="J29" s="110"/>
      <c r="L29" s="146"/>
      <c r="M29" s="144"/>
      <c r="N29" s="110"/>
      <c r="P29" s="110"/>
      <c r="X29" s="8"/>
      <c r="Y29" s="110"/>
      <c r="Z29" s="110"/>
      <c r="AA29" s="110"/>
      <c r="AB29" s="123"/>
      <c r="AC29" s="123"/>
    </row>
    <row r="30" ht="17.25" customHeight="1">
      <c r="A30" s="123"/>
      <c r="B30" s="136" t="s">
        <v>137</v>
      </c>
      <c r="C30" s="142">
        <f>IF(ISERROR($N$20/$N$21),0,$N$20/$N$21)</f>
        <v>0</v>
      </c>
      <c r="D30" s="143">
        <f t="shared" si="1"/>
        <v>0.95</v>
      </c>
      <c r="E30" s="143">
        <f t="shared" si="2"/>
        <v>0.95</v>
      </c>
      <c r="F30" s="110"/>
      <c r="G30" s="110"/>
      <c r="H30" s="110"/>
      <c r="J30" s="110"/>
      <c r="L30" s="146"/>
      <c r="M30" s="144"/>
      <c r="N30" s="110"/>
      <c r="P30" s="110"/>
      <c r="X30" s="8"/>
      <c r="Y30" s="110"/>
      <c r="Z30" s="110"/>
      <c r="AA30" s="110"/>
      <c r="AB30" s="123"/>
      <c r="AC30" s="123"/>
    </row>
    <row r="31" ht="17.25" customHeight="1">
      <c r="A31" s="123"/>
      <c r="B31" s="136" t="s">
        <v>138</v>
      </c>
      <c r="C31" s="142">
        <f>IF(ISERROR($O$20/$O$21),0,$O$20/$O$21)</f>
        <v>0</v>
      </c>
      <c r="D31" s="143">
        <f t="shared" si="1"/>
        <v>0.95</v>
      </c>
      <c r="E31" s="143">
        <f t="shared" si="2"/>
        <v>0.95</v>
      </c>
      <c r="F31" s="110"/>
      <c r="G31" s="110"/>
      <c r="H31" s="110"/>
      <c r="J31" s="110"/>
      <c r="L31" s="146"/>
      <c r="M31" s="144"/>
      <c r="N31" s="110"/>
      <c r="P31" s="110"/>
      <c r="X31" s="8"/>
      <c r="Y31" s="110"/>
      <c r="Z31" s="110"/>
      <c r="AA31" s="110"/>
      <c r="AB31" s="123"/>
      <c r="AC31" s="123"/>
    </row>
    <row r="32" ht="17.25" customHeight="1">
      <c r="A32" s="123"/>
      <c r="B32" s="136" t="s">
        <v>139</v>
      </c>
      <c r="C32" s="142">
        <f>IF(ISERROR($Q$20/$Q$21),0,$Q$20/$Q$21)</f>
        <v>0</v>
      </c>
      <c r="D32" s="143">
        <f t="shared" si="1"/>
        <v>0.95</v>
      </c>
      <c r="E32" s="143">
        <f t="shared" si="2"/>
        <v>0.95</v>
      </c>
      <c r="F32" s="110"/>
      <c r="G32" s="110"/>
      <c r="H32" s="110"/>
      <c r="J32" s="110"/>
      <c r="L32" s="146"/>
      <c r="M32" s="144"/>
      <c r="N32" s="110"/>
      <c r="P32" s="110"/>
      <c r="X32" s="8"/>
      <c r="Y32" s="110"/>
      <c r="Z32" s="110"/>
      <c r="AA32" s="110"/>
      <c r="AB32" s="123"/>
      <c r="AC32" s="123"/>
    </row>
    <row r="33" ht="17.25" customHeight="1">
      <c r="A33" s="123"/>
      <c r="B33" s="136" t="s">
        <v>140</v>
      </c>
      <c r="C33" s="142">
        <f>IF(ISERROR($T$20/$T$21),0,$T$20/$T$21)</f>
        <v>0</v>
      </c>
      <c r="D33" s="143">
        <f t="shared" si="1"/>
        <v>0.95</v>
      </c>
      <c r="E33" s="143">
        <f t="shared" si="2"/>
        <v>0.95</v>
      </c>
      <c r="F33" s="110"/>
      <c r="G33" s="110"/>
      <c r="H33" s="110"/>
      <c r="J33" s="110"/>
      <c r="L33" s="146"/>
      <c r="M33" s="144"/>
      <c r="N33" s="110"/>
      <c r="P33" s="110"/>
      <c r="X33" s="8"/>
      <c r="Y33" s="110"/>
      <c r="Z33" s="110"/>
      <c r="AA33" s="110"/>
      <c r="AB33" s="123"/>
      <c r="AC33" s="123"/>
    </row>
    <row r="34" ht="17.25" customHeight="1">
      <c r="A34" s="123"/>
      <c r="B34" s="136" t="s">
        <v>141</v>
      </c>
      <c r="C34" s="142">
        <f>IF(ISERROR($V$20/$V$21),0,$V$20/$V$21)</f>
        <v>0</v>
      </c>
      <c r="D34" s="143">
        <f t="shared" si="1"/>
        <v>0.95</v>
      </c>
      <c r="E34" s="143">
        <f t="shared" si="2"/>
        <v>0.95</v>
      </c>
      <c r="F34" s="110"/>
      <c r="G34" s="110"/>
      <c r="H34" s="110"/>
      <c r="J34" s="110"/>
      <c r="L34" s="146"/>
      <c r="M34" s="144"/>
      <c r="N34" s="110"/>
      <c r="P34" s="110"/>
      <c r="X34" s="8"/>
      <c r="Y34" s="110"/>
      <c r="Z34" s="110"/>
      <c r="AA34" s="110"/>
      <c r="AB34" s="123"/>
      <c r="AC34" s="123"/>
    </row>
    <row r="35" ht="17.25" customHeight="1">
      <c r="A35" s="123"/>
      <c r="B35" s="136" t="s">
        <v>142</v>
      </c>
      <c r="C35" s="142">
        <f>IF(ISERROR($X$20/$X$21),0,$X$20/$X$21)</f>
        <v>0</v>
      </c>
      <c r="D35" s="143">
        <f t="shared" si="1"/>
        <v>0.95</v>
      </c>
      <c r="E35" s="143">
        <f t="shared" si="2"/>
        <v>0.95</v>
      </c>
      <c r="F35" s="147"/>
      <c r="G35" s="147"/>
      <c r="H35" s="147"/>
      <c r="I35" s="89"/>
      <c r="J35" s="147"/>
      <c r="K35" s="89"/>
      <c r="L35" s="148"/>
      <c r="M35" s="149"/>
      <c r="N35" s="147"/>
      <c r="O35" s="89"/>
      <c r="P35" s="147"/>
      <c r="Q35" s="89"/>
      <c r="R35" s="89"/>
      <c r="S35" s="89"/>
      <c r="T35" s="89"/>
      <c r="U35" s="89"/>
      <c r="V35" s="89"/>
      <c r="W35" s="89"/>
      <c r="X35" s="109"/>
      <c r="Y35" s="110"/>
      <c r="Z35" s="110"/>
      <c r="AA35" s="110"/>
      <c r="AB35" s="123"/>
      <c r="AC35" s="123"/>
    </row>
    <row r="36" ht="8.25" customHeight="1">
      <c r="A36" s="123"/>
      <c r="B36" s="113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50"/>
      <c r="Y36" s="110"/>
      <c r="Z36" s="110"/>
      <c r="AA36" s="110"/>
      <c r="AB36" s="123"/>
      <c r="AC36" s="123"/>
    </row>
    <row r="37" ht="15.75" customHeight="1">
      <c r="A37" s="123"/>
      <c r="B37" s="151" t="s">
        <v>143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109"/>
      <c r="Y37" s="110"/>
      <c r="Z37" s="152"/>
      <c r="AA37" s="110"/>
      <c r="AB37" s="123"/>
      <c r="AC37" s="123"/>
    </row>
    <row r="38" ht="33.0" customHeight="1">
      <c r="A38" s="123"/>
      <c r="B38" s="153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144"/>
      <c r="Z38" s="144"/>
      <c r="AA38" s="144"/>
      <c r="AB38" s="123"/>
      <c r="AC38" s="123"/>
    </row>
    <row r="39" ht="10.5" customHeight="1">
      <c r="A39" s="123"/>
      <c r="B39" s="113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  <c r="Y39" s="154"/>
      <c r="Z39" s="155"/>
      <c r="AA39" s="146"/>
      <c r="AB39" s="123"/>
      <c r="AC39" s="123"/>
    </row>
    <row r="40" ht="18.0" customHeight="1">
      <c r="A40" s="123"/>
      <c r="B40" s="151" t="s">
        <v>144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109"/>
      <c r="Y40" s="154"/>
      <c r="Z40" s="155"/>
      <c r="AA40" s="146"/>
      <c r="AB40" s="123"/>
      <c r="AC40" s="123"/>
    </row>
    <row r="41" ht="88.5" customHeight="1">
      <c r="A41" s="123"/>
      <c r="B41" s="13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4"/>
      <c r="Y41" s="154"/>
      <c r="Z41" s="155"/>
      <c r="AA41" s="146"/>
      <c r="AB41" s="123"/>
      <c r="AC41" s="123"/>
    </row>
    <row r="42" ht="8.25" customHeight="1">
      <c r="A42" s="123"/>
      <c r="B42" s="113"/>
      <c r="C42" s="141"/>
      <c r="D42" s="141"/>
      <c r="E42" s="141"/>
      <c r="F42" s="141"/>
      <c r="G42" s="141"/>
      <c r="H42" s="10"/>
      <c r="I42" s="141"/>
      <c r="J42" s="10"/>
      <c r="K42" s="141"/>
      <c r="L42" s="10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50"/>
      <c r="Y42" s="154"/>
      <c r="Z42" s="155"/>
      <c r="AA42" s="146"/>
      <c r="AB42" s="123"/>
      <c r="AC42" s="123"/>
    </row>
    <row r="43" ht="13.5" customHeight="1">
      <c r="A43" s="123"/>
      <c r="B43" s="156" t="s">
        <v>145</v>
      </c>
      <c r="I43" s="110"/>
      <c r="J43" s="157" t="s">
        <v>146</v>
      </c>
      <c r="K43" s="110"/>
      <c r="L43" s="158"/>
      <c r="M43" s="14"/>
      <c r="N43" s="110"/>
      <c r="O43" s="145" t="s">
        <v>147</v>
      </c>
      <c r="P43" s="110"/>
      <c r="Q43" s="119" t="s">
        <v>148</v>
      </c>
      <c r="R43" s="14"/>
      <c r="S43" s="110"/>
      <c r="T43" s="110"/>
      <c r="U43" s="110"/>
      <c r="V43" s="110"/>
      <c r="W43" s="110"/>
      <c r="X43" s="159"/>
      <c r="Y43" s="154"/>
      <c r="Z43" s="155"/>
      <c r="AA43" s="146"/>
      <c r="AB43" s="123"/>
      <c r="AC43" s="123"/>
    </row>
    <row r="44" ht="8.25" customHeight="1">
      <c r="A44" s="123"/>
      <c r="B44" s="160"/>
      <c r="C44" s="110"/>
      <c r="D44" s="110"/>
      <c r="E44" s="110"/>
      <c r="F44" s="110"/>
      <c r="G44" s="110"/>
      <c r="H44" s="110"/>
      <c r="I44" s="110"/>
      <c r="X44" s="8"/>
      <c r="Y44" s="154"/>
      <c r="Z44" s="155"/>
      <c r="AA44" s="146"/>
      <c r="AB44" s="123"/>
      <c r="AC44" s="123"/>
    </row>
    <row r="45" ht="13.5" customHeight="1">
      <c r="A45" s="123"/>
      <c r="B45" s="161" t="s">
        <v>149</v>
      </c>
      <c r="X45" s="8"/>
      <c r="Y45" s="154"/>
      <c r="Z45" s="155"/>
      <c r="AA45" s="146"/>
      <c r="AB45" s="123"/>
      <c r="AC45" s="123"/>
    </row>
    <row r="46" ht="8.25" customHeight="1">
      <c r="A46" s="123"/>
      <c r="B46" s="162"/>
      <c r="C46" s="147"/>
      <c r="D46" s="147"/>
      <c r="E46" s="147"/>
      <c r="F46" s="147"/>
      <c r="G46" s="163"/>
      <c r="H46" s="147"/>
      <c r="I46" s="164"/>
      <c r="J46" s="165"/>
      <c r="K46" s="148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66"/>
      <c r="Y46" s="154"/>
      <c r="Z46" s="155"/>
      <c r="AA46" s="146"/>
      <c r="AB46" s="123"/>
      <c r="AC46" s="123"/>
    </row>
    <row r="47" ht="20.25" customHeight="1">
      <c r="A47" s="123"/>
      <c r="B47" s="167"/>
      <c r="Y47" s="154"/>
      <c r="Z47" s="155"/>
      <c r="AA47" s="146"/>
      <c r="AB47" s="123"/>
      <c r="AC47" s="123"/>
    </row>
    <row r="48" ht="13.5" customHeight="1">
      <c r="A48" s="123"/>
      <c r="Y48" s="154"/>
      <c r="Z48" s="155"/>
      <c r="AA48" s="146"/>
      <c r="AB48" s="123"/>
      <c r="AC48" s="123"/>
    </row>
    <row r="49" ht="13.5" customHeight="1">
      <c r="A49" s="123"/>
      <c r="B49" s="123"/>
      <c r="C49" s="123"/>
      <c r="D49" s="123"/>
      <c r="E49" s="123"/>
      <c r="F49" s="123"/>
      <c r="G49" s="110"/>
      <c r="I49" s="110"/>
      <c r="Y49" s="154"/>
      <c r="Z49" s="155"/>
      <c r="AA49" s="146"/>
      <c r="AB49" s="123"/>
      <c r="AC49" s="123"/>
    </row>
    <row r="50" ht="13.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23"/>
      <c r="AC50" s="123"/>
    </row>
    <row r="51" ht="13.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23"/>
      <c r="AC51" s="123"/>
    </row>
    <row r="52" ht="13.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23"/>
      <c r="AC52" s="123"/>
    </row>
    <row r="53" ht="13.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23"/>
      <c r="AC53" s="123"/>
    </row>
    <row r="54" ht="13.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23"/>
      <c r="AC54" s="123"/>
    </row>
    <row r="55" ht="13.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23"/>
      <c r="AC55" s="123"/>
    </row>
    <row r="56" ht="13.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23"/>
      <c r="AC56" s="123"/>
    </row>
    <row r="57" ht="13.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23"/>
      <c r="AC57" s="123"/>
    </row>
    <row r="58" ht="13.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23"/>
      <c r="AC58" s="123"/>
    </row>
    <row r="59" ht="13.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23"/>
      <c r="AC59" s="123"/>
    </row>
    <row r="60" ht="13.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23"/>
      <c r="AC60" s="123"/>
    </row>
    <row r="61" ht="13.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23"/>
      <c r="AC61" s="123"/>
    </row>
    <row r="62" ht="13.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23"/>
      <c r="AC62" s="123"/>
    </row>
    <row r="63" ht="13.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23"/>
      <c r="AC63" s="123"/>
    </row>
    <row r="64" ht="13.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23"/>
      <c r="AC64" s="123"/>
    </row>
    <row r="65" ht="13.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23"/>
      <c r="AC65" s="123"/>
    </row>
    <row r="66" ht="13.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23"/>
      <c r="AC66" s="123"/>
    </row>
    <row r="67" ht="13.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23"/>
      <c r="AC67" s="123"/>
    </row>
    <row r="68" ht="13.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23"/>
      <c r="AC68" s="123"/>
    </row>
    <row r="69" ht="13.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23"/>
      <c r="AC69" s="123"/>
    </row>
    <row r="70" ht="13.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23"/>
      <c r="AC70" s="123"/>
    </row>
    <row r="71" ht="13.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23"/>
      <c r="AC71" s="123"/>
    </row>
    <row r="72" ht="13.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23"/>
      <c r="AC72" s="123"/>
    </row>
    <row r="73" ht="13.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23"/>
      <c r="AC73" s="123"/>
    </row>
    <row r="74" ht="13.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23"/>
      <c r="AC74" s="123"/>
    </row>
    <row r="75" ht="13.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23"/>
      <c r="AC75" s="123"/>
    </row>
    <row r="76" ht="13.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23"/>
      <c r="AC76" s="123"/>
    </row>
    <row r="77" ht="13.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23"/>
      <c r="AC77" s="123"/>
    </row>
    <row r="78" ht="13.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23"/>
      <c r="AC78" s="123"/>
    </row>
    <row r="79" ht="13.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23"/>
      <c r="AC79" s="123"/>
    </row>
    <row r="80" ht="13.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23"/>
      <c r="AC80" s="123"/>
    </row>
    <row r="81" ht="13.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23"/>
      <c r="AC81" s="123"/>
    </row>
    <row r="82" ht="13.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23"/>
      <c r="AC82" s="123"/>
    </row>
    <row r="83" ht="13.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23"/>
      <c r="AC83" s="123"/>
    </row>
    <row r="84" ht="13.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23"/>
      <c r="AC84" s="123"/>
    </row>
    <row r="85" ht="13.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23"/>
      <c r="AC85" s="123"/>
    </row>
    <row r="86" ht="13.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23"/>
      <c r="AC86" s="123"/>
    </row>
    <row r="87" ht="13.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23"/>
      <c r="AC87" s="123"/>
    </row>
    <row r="88" ht="13.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23"/>
      <c r="AC88" s="123"/>
    </row>
    <row r="89" ht="13.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23"/>
      <c r="AC89" s="123"/>
    </row>
    <row r="90" ht="13.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23"/>
      <c r="AC90" s="123"/>
    </row>
    <row r="91" ht="13.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23"/>
      <c r="AC91" s="123"/>
    </row>
    <row r="92" ht="13.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23"/>
      <c r="AC92" s="123"/>
    </row>
    <row r="93" ht="13.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23"/>
      <c r="AC93" s="123"/>
    </row>
    <row r="94" ht="13.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23"/>
      <c r="AC94" s="123"/>
    </row>
    <row r="95" ht="13.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23"/>
      <c r="AC95" s="123"/>
    </row>
    <row r="96" ht="13.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23"/>
      <c r="AC96" s="123"/>
    </row>
    <row r="97" ht="13.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23"/>
      <c r="AC97" s="123"/>
    </row>
    <row r="98" ht="13.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23"/>
      <c r="AC98" s="123"/>
    </row>
    <row r="99" ht="13.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23"/>
      <c r="AC99" s="123"/>
    </row>
    <row r="100" ht="13.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23"/>
      <c r="AC100" s="123"/>
    </row>
    <row r="101" ht="13.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23"/>
      <c r="AC101" s="123"/>
    </row>
    <row r="102" ht="13.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23"/>
      <c r="AC102" s="123"/>
    </row>
    <row r="103" ht="13.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23"/>
      <c r="AC103" s="123"/>
    </row>
    <row r="104" ht="13.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23"/>
      <c r="AC104" s="123"/>
    </row>
    <row r="105" ht="13.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23"/>
      <c r="AC105" s="123"/>
    </row>
    <row r="106" ht="13.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23"/>
      <c r="AC106" s="123"/>
    </row>
    <row r="107" ht="13.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23"/>
      <c r="AC107" s="123"/>
    </row>
    <row r="108" ht="13.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23"/>
      <c r="AC108" s="123"/>
    </row>
    <row r="109" ht="13.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23"/>
      <c r="AC109" s="123"/>
    </row>
    <row r="110" ht="13.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23"/>
      <c r="AC110" s="123"/>
    </row>
    <row r="111" ht="13.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23"/>
      <c r="AC111" s="123"/>
    </row>
    <row r="112" ht="13.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23"/>
      <c r="AC112" s="123"/>
    </row>
    <row r="113" ht="13.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23"/>
      <c r="AC113" s="123"/>
    </row>
    <row r="114" ht="13.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23"/>
      <c r="AC114" s="123"/>
    </row>
    <row r="115" ht="13.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23"/>
      <c r="AC115" s="123"/>
    </row>
    <row r="116" ht="13.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23"/>
      <c r="AC116" s="123"/>
    </row>
    <row r="117" ht="13.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23"/>
      <c r="AC117" s="123"/>
    </row>
    <row r="118" ht="13.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23"/>
      <c r="AC118" s="123"/>
    </row>
    <row r="119" ht="13.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23"/>
      <c r="AC119" s="123"/>
    </row>
    <row r="120" ht="13.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23"/>
      <c r="AC120" s="123"/>
    </row>
    <row r="121" ht="13.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23"/>
      <c r="AC121" s="123"/>
    </row>
    <row r="122" ht="13.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23"/>
      <c r="AC122" s="123"/>
    </row>
    <row r="123" ht="13.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23"/>
      <c r="AC123" s="123"/>
    </row>
    <row r="124" ht="13.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23"/>
      <c r="AC124" s="123"/>
    </row>
    <row r="125" ht="13.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23"/>
      <c r="AC125" s="123"/>
    </row>
    <row r="126" ht="13.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23"/>
      <c r="AC126" s="123"/>
    </row>
    <row r="127" ht="13.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23"/>
      <c r="AC127" s="123"/>
    </row>
    <row r="128" ht="13.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23"/>
      <c r="AC128" s="123"/>
    </row>
    <row r="129" ht="13.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23"/>
      <c r="AC129" s="123"/>
    </row>
    <row r="130" ht="13.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23"/>
      <c r="AC130" s="123"/>
    </row>
    <row r="131" ht="13.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23"/>
      <c r="AC131" s="123"/>
    </row>
    <row r="132" ht="13.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23"/>
      <c r="AC132" s="123"/>
    </row>
    <row r="133" ht="13.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23"/>
      <c r="AC133" s="123"/>
    </row>
    <row r="134" ht="13.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23"/>
      <c r="AC134" s="123"/>
    </row>
    <row r="135" ht="13.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23"/>
      <c r="AC135" s="123"/>
    </row>
    <row r="136" ht="13.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23"/>
      <c r="AC136" s="123"/>
    </row>
    <row r="137" ht="13.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23"/>
      <c r="AC137" s="123"/>
    </row>
    <row r="138" ht="13.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23"/>
      <c r="AC138" s="123"/>
    </row>
    <row r="139" ht="13.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23"/>
      <c r="AC139" s="123"/>
    </row>
    <row r="140" ht="13.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23"/>
      <c r="AC140" s="123"/>
    </row>
    <row r="141" ht="13.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23"/>
      <c r="AC141" s="123"/>
    </row>
    <row r="142" ht="13.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23"/>
      <c r="AC142" s="123"/>
    </row>
    <row r="143" ht="13.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23"/>
      <c r="AC143" s="123"/>
    </row>
    <row r="144" ht="13.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23"/>
      <c r="AC144" s="123"/>
    </row>
    <row r="145" ht="13.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23"/>
      <c r="AC145" s="123"/>
    </row>
    <row r="146" ht="13.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23"/>
      <c r="AC146" s="123"/>
    </row>
    <row r="147" ht="13.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23"/>
      <c r="AC147" s="123"/>
    </row>
    <row r="148" ht="13.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23"/>
      <c r="AC148" s="123"/>
    </row>
    <row r="149" ht="13.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23"/>
      <c r="AC149" s="123"/>
    </row>
    <row r="150" ht="13.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23"/>
      <c r="AC150" s="123"/>
    </row>
    <row r="151" ht="13.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23"/>
      <c r="AC151" s="123"/>
    </row>
    <row r="152" ht="13.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23"/>
      <c r="AC152" s="123"/>
    </row>
    <row r="153" ht="13.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23"/>
      <c r="AC153" s="123"/>
    </row>
    <row r="154" ht="13.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23"/>
      <c r="AC154" s="123"/>
    </row>
    <row r="155" ht="13.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23"/>
      <c r="AC155" s="123"/>
    </row>
    <row r="156" ht="13.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23"/>
      <c r="AC156" s="123"/>
    </row>
    <row r="157" ht="13.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23"/>
      <c r="AC157" s="123"/>
    </row>
    <row r="158" ht="13.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23"/>
      <c r="AC158" s="123"/>
    </row>
    <row r="159" ht="13.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23"/>
      <c r="AC159" s="123"/>
    </row>
    <row r="160" ht="13.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23"/>
      <c r="AC160" s="123"/>
    </row>
    <row r="161" ht="13.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23"/>
      <c r="AC161" s="123"/>
    </row>
    <row r="162" ht="13.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23"/>
      <c r="AC162" s="123"/>
    </row>
    <row r="163" ht="13.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23"/>
      <c r="AC163" s="123"/>
    </row>
    <row r="164" ht="13.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23"/>
      <c r="AC164" s="123"/>
    </row>
    <row r="165" ht="13.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23"/>
      <c r="AC165" s="123"/>
    </row>
    <row r="166" ht="13.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23"/>
      <c r="AC166" s="123"/>
    </row>
    <row r="167" ht="13.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23"/>
      <c r="AC167" s="123"/>
    </row>
    <row r="168" ht="13.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23"/>
      <c r="AC168" s="123"/>
    </row>
    <row r="169" ht="13.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23"/>
      <c r="AC169" s="123"/>
    </row>
    <row r="170" ht="13.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23"/>
      <c r="AC170" s="123"/>
    </row>
    <row r="171" ht="13.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23"/>
      <c r="AC171" s="123"/>
    </row>
    <row r="172" ht="13.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23"/>
      <c r="AC172" s="123"/>
    </row>
    <row r="173" ht="13.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23"/>
      <c r="AC173" s="123"/>
    </row>
    <row r="174" ht="13.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23"/>
      <c r="AC174" s="123"/>
    </row>
    <row r="175" ht="13.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23"/>
      <c r="AC175" s="123"/>
    </row>
    <row r="176" ht="13.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23"/>
      <c r="AC176" s="123"/>
    </row>
    <row r="177" ht="13.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23"/>
      <c r="AC177" s="123"/>
    </row>
    <row r="178" ht="13.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23"/>
      <c r="AC178" s="123"/>
    </row>
    <row r="179" ht="13.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23"/>
      <c r="AC179" s="123"/>
    </row>
    <row r="180" ht="13.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23"/>
      <c r="AC180" s="123"/>
    </row>
    <row r="181" ht="13.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23"/>
      <c r="AC181" s="123"/>
    </row>
    <row r="182" ht="13.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23"/>
      <c r="AC182" s="123"/>
    </row>
    <row r="183" ht="13.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23"/>
      <c r="AC183" s="123"/>
    </row>
    <row r="184" ht="13.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23"/>
      <c r="AC184" s="123"/>
    </row>
    <row r="185" ht="13.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23"/>
      <c r="AC185" s="123"/>
    </row>
    <row r="186" ht="13.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23"/>
      <c r="AC186" s="123"/>
    </row>
    <row r="187" ht="13.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23"/>
      <c r="AC187" s="123"/>
    </row>
    <row r="188" ht="13.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23"/>
      <c r="AC188" s="123"/>
    </row>
    <row r="189" ht="13.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23"/>
      <c r="AC189" s="123"/>
    </row>
    <row r="190" ht="13.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23"/>
      <c r="AC190" s="123"/>
    </row>
    <row r="191" ht="13.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23"/>
      <c r="AC191" s="123"/>
    </row>
    <row r="192" ht="13.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23"/>
      <c r="AC192" s="123"/>
    </row>
    <row r="193" ht="13.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23"/>
      <c r="AC193" s="123"/>
    </row>
    <row r="194" ht="13.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23"/>
      <c r="AC194" s="123"/>
    </row>
    <row r="195" ht="13.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23"/>
      <c r="AC195" s="123"/>
    </row>
    <row r="196" ht="13.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23"/>
      <c r="AC196" s="123"/>
    </row>
    <row r="197" ht="13.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23"/>
      <c r="AC197" s="123"/>
    </row>
    <row r="198" ht="13.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23"/>
      <c r="AC198" s="123"/>
    </row>
    <row r="199" ht="13.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23"/>
      <c r="AC199" s="123"/>
    </row>
    <row r="200" ht="13.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23"/>
      <c r="AC200" s="123"/>
    </row>
    <row r="201" ht="13.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23"/>
      <c r="AC201" s="123"/>
    </row>
    <row r="202" ht="13.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23"/>
      <c r="AC202" s="123"/>
    </row>
    <row r="203" ht="13.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23"/>
      <c r="AC203" s="123"/>
    </row>
    <row r="204" ht="13.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23"/>
      <c r="AC204" s="123"/>
    </row>
    <row r="205" ht="13.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23"/>
      <c r="AC205" s="123"/>
    </row>
    <row r="206" ht="13.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23"/>
      <c r="AC206" s="123"/>
    </row>
    <row r="207" ht="13.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23"/>
      <c r="AC207" s="123"/>
    </row>
    <row r="208" ht="13.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23"/>
      <c r="AC208" s="123"/>
    </row>
    <row r="209" ht="13.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23"/>
      <c r="AC209" s="123"/>
    </row>
    <row r="210" ht="13.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23"/>
      <c r="AC210" s="123"/>
    </row>
    <row r="211" ht="13.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23"/>
      <c r="AC211" s="123"/>
    </row>
    <row r="212" ht="13.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23"/>
      <c r="AC212" s="123"/>
    </row>
    <row r="213" ht="13.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23"/>
      <c r="AC213" s="123"/>
    </row>
    <row r="214" ht="13.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23"/>
      <c r="AC214" s="123"/>
    </row>
    <row r="215" ht="13.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23"/>
      <c r="AC215" s="123"/>
    </row>
    <row r="216" ht="13.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23"/>
      <c r="AC216" s="123"/>
    </row>
    <row r="217" ht="13.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23"/>
      <c r="AC217" s="123"/>
    </row>
    <row r="218" ht="13.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23"/>
      <c r="AC218" s="123"/>
    </row>
    <row r="219" ht="13.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23"/>
      <c r="AC219" s="123"/>
    </row>
    <row r="220" ht="13.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23"/>
      <c r="AC220" s="123"/>
    </row>
    <row r="221" ht="13.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23"/>
      <c r="AC221" s="123"/>
    </row>
    <row r="222" ht="13.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23"/>
      <c r="AC222" s="123"/>
    </row>
    <row r="223" ht="13.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23"/>
      <c r="AC223" s="123"/>
    </row>
    <row r="224" ht="13.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23"/>
      <c r="AC224" s="123"/>
    </row>
    <row r="225" ht="13.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23"/>
      <c r="AC225" s="123"/>
    </row>
    <row r="226" ht="13.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23"/>
      <c r="AC226" s="123"/>
    </row>
    <row r="227" ht="13.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23"/>
      <c r="AC227" s="123"/>
    </row>
    <row r="228" ht="13.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23"/>
      <c r="AC228" s="123"/>
    </row>
    <row r="229" ht="13.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23"/>
      <c r="AC229" s="123"/>
    </row>
    <row r="230" ht="13.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23"/>
      <c r="AC230" s="123"/>
    </row>
    <row r="231" ht="13.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23"/>
      <c r="AC231" s="123"/>
    </row>
    <row r="232" ht="13.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23"/>
      <c r="AC232" s="123"/>
    </row>
    <row r="233" ht="13.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23"/>
      <c r="AC233" s="123"/>
    </row>
    <row r="234" ht="13.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23"/>
      <c r="AC234" s="123"/>
    </row>
    <row r="235" ht="13.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23"/>
      <c r="AC235" s="123"/>
    </row>
    <row r="236" ht="13.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23"/>
      <c r="AC236" s="123"/>
    </row>
    <row r="237" ht="13.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23"/>
      <c r="AC237" s="123"/>
    </row>
    <row r="238" ht="13.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23"/>
      <c r="AC238" s="123"/>
    </row>
    <row r="239" ht="13.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23"/>
      <c r="AC239" s="123"/>
    </row>
    <row r="240" ht="13.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23"/>
      <c r="AC240" s="123"/>
    </row>
    <row r="241" ht="13.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23"/>
      <c r="AC241" s="123"/>
    </row>
    <row r="242" ht="13.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23"/>
      <c r="AC242" s="123"/>
    </row>
    <row r="243" ht="13.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23"/>
      <c r="AC243" s="123"/>
    </row>
    <row r="244" ht="13.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23"/>
      <c r="AC244" s="123"/>
    </row>
    <row r="245" ht="13.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23"/>
      <c r="AC245" s="123"/>
    </row>
    <row r="246" ht="13.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23"/>
      <c r="AC246" s="123"/>
    </row>
    <row r="247" ht="13.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23"/>
      <c r="AC247" s="123"/>
    </row>
    <row r="248" ht="13.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23"/>
      <c r="AC248" s="123"/>
    </row>
    <row r="249" ht="13.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23"/>
      <c r="AC249" s="123"/>
    </row>
    <row r="250" ht="13.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23"/>
      <c r="AC250" s="123"/>
    </row>
    <row r="251" ht="13.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23"/>
      <c r="AC251" s="123"/>
    </row>
    <row r="252" ht="13.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23"/>
      <c r="AC252" s="123"/>
    </row>
    <row r="253" ht="13.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23"/>
      <c r="AC253" s="123"/>
    </row>
    <row r="254" ht="13.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23"/>
      <c r="AC254" s="123"/>
    </row>
    <row r="255" ht="13.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23"/>
      <c r="AC255" s="123"/>
    </row>
    <row r="256" ht="13.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23"/>
      <c r="AC256" s="123"/>
    </row>
    <row r="257" ht="13.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23"/>
      <c r="AC257" s="123"/>
    </row>
    <row r="258" ht="13.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23"/>
      <c r="AC258" s="123"/>
    </row>
    <row r="259" ht="13.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23"/>
      <c r="AC259" s="123"/>
    </row>
    <row r="260" ht="13.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23"/>
      <c r="AC260" s="123"/>
    </row>
    <row r="261" ht="13.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23"/>
      <c r="AC261" s="123"/>
    </row>
    <row r="262" ht="13.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23"/>
      <c r="AC262" s="123"/>
    </row>
    <row r="263" ht="13.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23"/>
      <c r="AC263" s="123"/>
    </row>
    <row r="264" ht="13.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23"/>
      <c r="AC264" s="123"/>
    </row>
    <row r="265" ht="13.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23"/>
      <c r="AC265" s="123"/>
    </row>
    <row r="266" ht="13.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23"/>
      <c r="AC266" s="123"/>
    </row>
    <row r="267" ht="13.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23"/>
      <c r="AC267" s="123"/>
    </row>
    <row r="268" ht="13.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23"/>
      <c r="AC268" s="123"/>
    </row>
    <row r="269" ht="13.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23"/>
      <c r="AC269" s="123"/>
    </row>
    <row r="270" ht="13.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23"/>
      <c r="AC270" s="123"/>
    </row>
    <row r="271" ht="13.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23"/>
      <c r="AC271" s="123"/>
    </row>
    <row r="272" ht="13.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23"/>
      <c r="AC272" s="123"/>
    </row>
    <row r="273" ht="13.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23"/>
      <c r="AC273" s="123"/>
    </row>
    <row r="274" ht="13.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23"/>
      <c r="AC274" s="123"/>
    </row>
    <row r="275" ht="13.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23"/>
      <c r="AC275" s="123"/>
    </row>
    <row r="276" ht="13.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23"/>
      <c r="AC276" s="123"/>
    </row>
    <row r="277" ht="13.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23"/>
      <c r="AC277" s="123"/>
    </row>
    <row r="278" ht="13.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23"/>
      <c r="AC278" s="123"/>
    </row>
    <row r="279" ht="13.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23"/>
      <c r="AC279" s="123"/>
    </row>
    <row r="280" ht="13.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23"/>
      <c r="AC280" s="123"/>
    </row>
    <row r="281" ht="13.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23"/>
      <c r="AC281" s="123"/>
    </row>
    <row r="282" ht="13.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23"/>
      <c r="AC282" s="123"/>
    </row>
    <row r="283" ht="13.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23"/>
      <c r="AC283" s="123"/>
    </row>
    <row r="284" ht="13.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23"/>
      <c r="AC284" s="123"/>
    </row>
    <row r="285" ht="13.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23"/>
      <c r="AC285" s="123"/>
    </row>
    <row r="286" ht="13.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23"/>
      <c r="AC286" s="123"/>
    </row>
    <row r="287" ht="13.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23"/>
      <c r="AC287" s="123"/>
    </row>
    <row r="288" ht="13.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23"/>
      <c r="AC288" s="123"/>
    </row>
    <row r="289" ht="13.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23"/>
      <c r="AC289" s="123"/>
    </row>
    <row r="290" ht="13.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23"/>
      <c r="AC290" s="123"/>
    </row>
    <row r="291" ht="13.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23"/>
      <c r="AC291" s="123"/>
    </row>
    <row r="292" ht="13.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23"/>
      <c r="AC292" s="123"/>
    </row>
    <row r="293" ht="13.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23"/>
      <c r="AC293" s="123"/>
    </row>
    <row r="294" ht="13.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23"/>
      <c r="AC294" s="123"/>
    </row>
    <row r="295" ht="13.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23"/>
      <c r="AC295" s="123"/>
    </row>
    <row r="296" ht="13.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23"/>
      <c r="AC296" s="123"/>
    </row>
    <row r="297" ht="13.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23"/>
      <c r="AC297" s="123"/>
    </row>
    <row r="298" ht="13.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23"/>
      <c r="AC298" s="123"/>
    </row>
    <row r="299" ht="13.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23"/>
      <c r="AC299" s="123"/>
    </row>
    <row r="300" ht="13.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23"/>
      <c r="AC300" s="123"/>
    </row>
    <row r="301" ht="13.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23"/>
      <c r="AC301" s="123"/>
    </row>
    <row r="302" ht="13.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23"/>
      <c r="AC302" s="123"/>
    </row>
    <row r="303" ht="13.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23"/>
      <c r="AC303" s="123"/>
    </row>
    <row r="304" ht="13.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23"/>
      <c r="AC304" s="123"/>
    </row>
    <row r="305" ht="13.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23"/>
      <c r="AC305" s="123"/>
    </row>
    <row r="306" ht="13.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23"/>
      <c r="AC306" s="123"/>
    </row>
    <row r="307" ht="13.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23"/>
      <c r="AC307" s="123"/>
    </row>
    <row r="308" ht="13.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23"/>
      <c r="AC308" s="123"/>
    </row>
    <row r="309" ht="13.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23"/>
      <c r="AC309" s="123"/>
    </row>
    <row r="310" ht="13.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23"/>
      <c r="AC310" s="123"/>
    </row>
    <row r="311" ht="13.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23"/>
      <c r="AC311" s="123"/>
    </row>
    <row r="312" ht="13.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23"/>
      <c r="AC312" s="123"/>
    </row>
    <row r="313" ht="13.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23"/>
      <c r="AC313" s="123"/>
    </row>
    <row r="314" ht="13.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23"/>
      <c r="AC314" s="123"/>
    </row>
    <row r="315" ht="13.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23"/>
      <c r="AC315" s="123"/>
    </row>
    <row r="316" ht="13.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23"/>
      <c r="AC316" s="123"/>
    </row>
    <row r="317" ht="13.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23"/>
      <c r="AC317" s="123"/>
    </row>
    <row r="318" ht="13.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23"/>
      <c r="AC318" s="123"/>
    </row>
    <row r="319" ht="13.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23"/>
      <c r="AC319" s="123"/>
    </row>
    <row r="320" ht="13.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23"/>
      <c r="AC320" s="123"/>
    </row>
    <row r="321" ht="13.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23"/>
      <c r="AC321" s="123"/>
    </row>
    <row r="322" ht="13.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23"/>
      <c r="AC322" s="123"/>
    </row>
    <row r="323" ht="13.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23"/>
      <c r="AC323" s="123"/>
    </row>
    <row r="324" ht="13.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23"/>
      <c r="AC324" s="123"/>
    </row>
    <row r="325" ht="13.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23"/>
      <c r="AC325" s="123"/>
    </row>
    <row r="326" ht="13.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23"/>
      <c r="AC326" s="123"/>
    </row>
    <row r="327" ht="13.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23"/>
      <c r="AC327" s="123"/>
    </row>
    <row r="328" ht="13.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23"/>
      <c r="AC328" s="123"/>
    </row>
    <row r="329" ht="13.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23"/>
      <c r="AC329" s="123"/>
    </row>
    <row r="330" ht="13.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23"/>
      <c r="AC330" s="123"/>
    </row>
    <row r="331" ht="13.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23"/>
      <c r="AC331" s="123"/>
    </row>
    <row r="332" ht="13.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23"/>
      <c r="AC332" s="123"/>
    </row>
    <row r="333" ht="13.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23"/>
      <c r="AC333" s="123"/>
    </row>
    <row r="334" ht="13.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23"/>
      <c r="AC334" s="123"/>
    </row>
    <row r="335" ht="13.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23"/>
      <c r="AC335" s="123"/>
    </row>
    <row r="336" ht="13.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23"/>
      <c r="AC336" s="123"/>
    </row>
    <row r="337" ht="13.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23"/>
      <c r="AC337" s="123"/>
    </row>
    <row r="338" ht="13.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23"/>
      <c r="AC338" s="123"/>
    </row>
    <row r="339" ht="13.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23"/>
      <c r="AC339" s="123"/>
    </row>
    <row r="340" ht="13.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23"/>
      <c r="AC340" s="123"/>
    </row>
    <row r="341" ht="13.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23"/>
      <c r="AC341" s="123"/>
    </row>
    <row r="342" ht="13.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23"/>
      <c r="AC342" s="123"/>
    </row>
    <row r="343" ht="13.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23"/>
      <c r="AC343" s="123"/>
    </row>
    <row r="344" ht="13.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23"/>
      <c r="AC344" s="123"/>
    </row>
    <row r="345" ht="13.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23"/>
      <c r="AC345" s="123"/>
    </row>
    <row r="346" ht="13.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23"/>
      <c r="AC346" s="123"/>
    </row>
    <row r="347" ht="13.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23"/>
      <c r="AC347" s="123"/>
    </row>
    <row r="348" ht="13.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23"/>
      <c r="AC348" s="123"/>
    </row>
    <row r="349" ht="13.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23"/>
      <c r="AC349" s="123"/>
    </row>
    <row r="350" ht="13.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23"/>
      <c r="AC350" s="123"/>
    </row>
    <row r="351" ht="13.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23"/>
      <c r="AC351" s="123"/>
    </row>
    <row r="352" ht="13.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23"/>
      <c r="AC352" s="123"/>
    </row>
    <row r="353" ht="13.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23"/>
      <c r="AC353" s="123"/>
    </row>
    <row r="354" ht="13.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23"/>
      <c r="AC354" s="123"/>
    </row>
    <row r="355" ht="13.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23"/>
      <c r="AC355" s="123"/>
    </row>
    <row r="356" ht="13.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23"/>
      <c r="AC356" s="123"/>
    </row>
    <row r="357" ht="13.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23"/>
      <c r="AC357" s="123"/>
    </row>
    <row r="358" ht="13.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23"/>
      <c r="AC358" s="123"/>
    </row>
    <row r="359" ht="13.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23"/>
      <c r="AC359" s="123"/>
    </row>
    <row r="360" ht="13.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23"/>
      <c r="AC360" s="123"/>
    </row>
    <row r="361" ht="13.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23"/>
      <c r="AC361" s="123"/>
    </row>
    <row r="362" ht="13.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23"/>
      <c r="AC362" s="123"/>
    </row>
    <row r="363" ht="13.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23"/>
      <c r="AC363" s="123"/>
    </row>
    <row r="364" ht="13.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23"/>
      <c r="AC364" s="123"/>
    </row>
    <row r="365" ht="13.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23"/>
      <c r="AC365" s="123"/>
    </row>
    <row r="366" ht="13.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23"/>
      <c r="AC366" s="123"/>
    </row>
    <row r="367" ht="13.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23"/>
      <c r="AC367" s="123"/>
    </row>
    <row r="368" ht="13.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23"/>
      <c r="AC368" s="123"/>
    </row>
    <row r="369" ht="13.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23"/>
      <c r="AC369" s="123"/>
    </row>
    <row r="370" ht="13.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23"/>
      <c r="AC370" s="123"/>
    </row>
    <row r="371" ht="13.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23"/>
      <c r="AC371" s="123"/>
    </row>
    <row r="372" ht="13.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23"/>
      <c r="AC372" s="123"/>
    </row>
    <row r="373" ht="13.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23"/>
      <c r="AC373" s="123"/>
    </row>
    <row r="374" ht="13.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23"/>
      <c r="AC374" s="123"/>
    </row>
    <row r="375" ht="13.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23"/>
      <c r="AC375" s="123"/>
    </row>
    <row r="376" ht="13.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23"/>
      <c r="AC376" s="123"/>
    </row>
    <row r="377" ht="13.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23"/>
      <c r="AC377" s="123"/>
    </row>
    <row r="378" ht="13.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23"/>
      <c r="AC378" s="123"/>
    </row>
    <row r="379" ht="13.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23"/>
      <c r="AC379" s="123"/>
    </row>
    <row r="380" ht="13.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23"/>
      <c r="AC380" s="123"/>
    </row>
    <row r="381" ht="13.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23"/>
      <c r="AC381" s="123"/>
    </row>
    <row r="382" ht="13.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23"/>
      <c r="AC382" s="123"/>
    </row>
    <row r="383" ht="13.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23"/>
      <c r="AC383" s="123"/>
    </row>
    <row r="384" ht="13.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23"/>
      <c r="AC384" s="123"/>
    </row>
    <row r="385" ht="13.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23"/>
      <c r="AC385" s="123"/>
    </row>
    <row r="386" ht="13.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23"/>
      <c r="AC386" s="123"/>
    </row>
    <row r="387" ht="13.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23"/>
      <c r="AC387" s="123"/>
    </row>
    <row r="388" ht="13.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23"/>
      <c r="AC388" s="123"/>
    </row>
    <row r="389" ht="13.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23"/>
      <c r="AC389" s="123"/>
    </row>
    <row r="390" ht="13.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23"/>
      <c r="AC390" s="123"/>
    </row>
    <row r="391" ht="13.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23"/>
      <c r="AC391" s="123"/>
    </row>
    <row r="392" ht="13.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23"/>
      <c r="AC392" s="123"/>
    </row>
    <row r="393" ht="13.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23"/>
      <c r="AC393" s="123"/>
    </row>
    <row r="394" ht="13.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23"/>
      <c r="AC394" s="123"/>
    </row>
    <row r="395" ht="13.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23"/>
      <c r="AC395" s="123"/>
    </row>
    <row r="396" ht="13.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23"/>
      <c r="AC396" s="123"/>
    </row>
    <row r="397" ht="13.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23"/>
      <c r="AC397" s="123"/>
    </row>
    <row r="398" ht="13.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23"/>
      <c r="AC398" s="123"/>
    </row>
    <row r="399" ht="13.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23"/>
      <c r="AC399" s="123"/>
    </row>
    <row r="400" ht="13.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23"/>
      <c r="AC400" s="123"/>
    </row>
    <row r="401" ht="13.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23"/>
      <c r="AC401" s="123"/>
    </row>
    <row r="402" ht="13.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23"/>
      <c r="AC402" s="123"/>
    </row>
    <row r="403" ht="13.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23"/>
      <c r="AC403" s="123"/>
    </row>
    <row r="404" ht="13.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23"/>
      <c r="AC404" s="123"/>
    </row>
    <row r="405" ht="13.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23"/>
      <c r="AC405" s="123"/>
    </row>
    <row r="406" ht="13.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23"/>
      <c r="AC406" s="123"/>
    </row>
    <row r="407" ht="13.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23"/>
      <c r="AC407" s="123"/>
    </row>
    <row r="408" ht="13.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23"/>
      <c r="AC408" s="123"/>
    </row>
    <row r="409" ht="13.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23"/>
      <c r="AC409" s="123"/>
    </row>
    <row r="410" ht="13.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23"/>
      <c r="AC410" s="123"/>
    </row>
    <row r="411" ht="13.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23"/>
      <c r="AC411" s="123"/>
    </row>
    <row r="412" ht="13.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23"/>
      <c r="AC412" s="123"/>
    </row>
    <row r="413" ht="13.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23"/>
      <c r="AC413" s="123"/>
    </row>
    <row r="414" ht="13.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23"/>
      <c r="AC414" s="123"/>
    </row>
    <row r="415" ht="13.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23"/>
      <c r="AC415" s="123"/>
    </row>
    <row r="416" ht="13.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23"/>
      <c r="AC416" s="123"/>
    </row>
    <row r="417" ht="13.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23"/>
      <c r="AC417" s="123"/>
    </row>
    <row r="418" ht="13.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23"/>
      <c r="AC418" s="123"/>
    </row>
    <row r="419" ht="13.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23"/>
      <c r="AC419" s="123"/>
    </row>
    <row r="420" ht="13.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23"/>
      <c r="AC420" s="123"/>
    </row>
    <row r="421" ht="13.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23"/>
      <c r="AC421" s="123"/>
    </row>
    <row r="422" ht="13.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23"/>
      <c r="AC422" s="123"/>
    </row>
    <row r="423" ht="13.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23"/>
      <c r="AC423" s="123"/>
    </row>
    <row r="424" ht="13.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23"/>
      <c r="AC424" s="123"/>
    </row>
    <row r="425" ht="13.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23"/>
      <c r="AC425" s="123"/>
    </row>
    <row r="426" ht="13.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23"/>
      <c r="AC426" s="123"/>
    </row>
    <row r="427" ht="13.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23"/>
      <c r="AC427" s="123"/>
    </row>
    <row r="428" ht="13.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23"/>
      <c r="AC428" s="123"/>
    </row>
    <row r="429" ht="13.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23"/>
      <c r="AC429" s="123"/>
    </row>
    <row r="430" ht="13.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23"/>
      <c r="AC430" s="123"/>
    </row>
    <row r="431" ht="13.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23"/>
      <c r="AC431" s="123"/>
    </row>
    <row r="432" ht="13.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23"/>
      <c r="AC432" s="123"/>
    </row>
    <row r="433" ht="13.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23"/>
      <c r="AC433" s="123"/>
    </row>
    <row r="434" ht="13.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23"/>
      <c r="AC434" s="123"/>
    </row>
    <row r="435" ht="13.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23"/>
      <c r="AC435" s="123"/>
    </row>
    <row r="436" ht="13.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23"/>
      <c r="AC436" s="123"/>
    </row>
    <row r="437" ht="13.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23"/>
      <c r="AC437" s="123"/>
    </row>
    <row r="438" ht="13.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23"/>
      <c r="AC438" s="123"/>
    </row>
    <row r="439" ht="13.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23"/>
      <c r="AC439" s="123"/>
    </row>
    <row r="440" ht="13.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23"/>
      <c r="AC440" s="123"/>
    </row>
    <row r="441" ht="13.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23"/>
      <c r="AC441" s="123"/>
    </row>
    <row r="442" ht="13.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23"/>
      <c r="AC442" s="123"/>
    </row>
    <row r="443" ht="13.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23"/>
      <c r="AC443" s="123"/>
    </row>
    <row r="444" ht="13.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23"/>
      <c r="AC444" s="123"/>
    </row>
    <row r="445" ht="13.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23"/>
      <c r="AC445" s="123"/>
    </row>
    <row r="446" ht="13.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23"/>
      <c r="AC446" s="123"/>
    </row>
    <row r="447" ht="13.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23"/>
      <c r="AC447" s="123"/>
    </row>
    <row r="448" ht="13.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23"/>
      <c r="AC448" s="123"/>
    </row>
    <row r="449" ht="13.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23"/>
      <c r="AC449" s="123"/>
    </row>
    <row r="450" ht="13.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23"/>
      <c r="AC450" s="123"/>
    </row>
    <row r="451" ht="13.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23"/>
      <c r="AC451" s="123"/>
    </row>
    <row r="452" ht="13.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23"/>
      <c r="AC452" s="123"/>
    </row>
    <row r="453" ht="13.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23"/>
      <c r="AC453" s="123"/>
    </row>
    <row r="454" ht="13.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23"/>
      <c r="AC454" s="123"/>
    </row>
    <row r="455" ht="13.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23"/>
      <c r="AC455" s="123"/>
    </row>
    <row r="456" ht="13.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23"/>
      <c r="AC456" s="123"/>
    </row>
    <row r="457" ht="13.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23"/>
      <c r="AC457" s="123"/>
    </row>
    <row r="458" ht="13.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23"/>
      <c r="AC458" s="123"/>
    </row>
    <row r="459" ht="13.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23"/>
      <c r="AC459" s="123"/>
    </row>
    <row r="460" ht="13.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23"/>
      <c r="AC460" s="123"/>
    </row>
    <row r="461" ht="13.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23"/>
      <c r="AC461" s="123"/>
    </row>
    <row r="462" ht="13.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23"/>
      <c r="AC462" s="123"/>
    </row>
    <row r="463" ht="13.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23"/>
      <c r="AC463" s="123"/>
    </row>
    <row r="464" ht="13.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23"/>
      <c r="AC464" s="123"/>
    </row>
    <row r="465" ht="13.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23"/>
      <c r="AC465" s="123"/>
    </row>
    <row r="466" ht="13.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23"/>
      <c r="AC466" s="123"/>
    </row>
    <row r="467" ht="13.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23"/>
      <c r="AC467" s="123"/>
    </row>
    <row r="468" ht="13.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23"/>
      <c r="AC468" s="123"/>
    </row>
    <row r="469" ht="13.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23"/>
      <c r="AC469" s="123"/>
    </row>
    <row r="470" ht="13.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23"/>
      <c r="AC470" s="123"/>
    </row>
    <row r="471" ht="13.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23"/>
      <c r="AC471" s="123"/>
    </row>
    <row r="472" ht="13.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23"/>
      <c r="AC472" s="123"/>
    </row>
    <row r="473" ht="13.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23"/>
      <c r="AC473" s="123"/>
    </row>
    <row r="474" ht="13.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23"/>
      <c r="AC474" s="123"/>
    </row>
    <row r="475" ht="13.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23"/>
      <c r="AC475" s="123"/>
    </row>
    <row r="476" ht="13.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23"/>
      <c r="AC476" s="123"/>
    </row>
    <row r="477" ht="13.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23"/>
      <c r="AC477" s="123"/>
    </row>
    <row r="478" ht="13.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23"/>
      <c r="AC478" s="123"/>
    </row>
    <row r="479" ht="13.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23"/>
      <c r="AC479" s="123"/>
    </row>
    <row r="480" ht="13.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23"/>
      <c r="AC480" s="123"/>
    </row>
    <row r="481" ht="13.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23"/>
      <c r="AC481" s="123"/>
    </row>
    <row r="482" ht="13.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23"/>
      <c r="AC482" s="123"/>
    </row>
    <row r="483" ht="13.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23"/>
      <c r="AC483" s="123"/>
    </row>
    <row r="484" ht="13.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23"/>
      <c r="AC484" s="123"/>
    </row>
    <row r="485" ht="13.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23"/>
      <c r="AC485" s="123"/>
    </row>
    <row r="486" ht="13.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23"/>
      <c r="AC486" s="123"/>
    </row>
    <row r="487" ht="13.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23"/>
      <c r="AC487" s="123"/>
    </row>
    <row r="488" ht="13.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23"/>
      <c r="AC488" s="123"/>
    </row>
    <row r="489" ht="13.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23"/>
      <c r="AC489" s="123"/>
    </row>
    <row r="490" ht="13.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23"/>
      <c r="AC490" s="123"/>
    </row>
    <row r="491" ht="13.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23"/>
      <c r="AC491" s="123"/>
    </row>
    <row r="492" ht="13.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23"/>
      <c r="AC492" s="123"/>
    </row>
    <row r="493" ht="13.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23"/>
      <c r="AC493" s="123"/>
    </row>
    <row r="494" ht="13.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23"/>
      <c r="AC494" s="123"/>
    </row>
    <row r="495" ht="13.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23"/>
      <c r="AC495" s="123"/>
    </row>
    <row r="496" ht="13.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23"/>
      <c r="AC496" s="123"/>
    </row>
    <row r="497" ht="13.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23"/>
      <c r="AC497" s="123"/>
    </row>
    <row r="498" ht="13.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23"/>
      <c r="AC498" s="123"/>
    </row>
    <row r="499" ht="13.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23"/>
      <c r="AC499" s="123"/>
    </row>
    <row r="500" ht="13.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23"/>
      <c r="AC500" s="123"/>
    </row>
    <row r="501" ht="13.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23"/>
      <c r="AC501" s="123"/>
    </row>
    <row r="502" ht="13.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23"/>
      <c r="AC502" s="123"/>
    </row>
    <row r="503" ht="13.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23"/>
      <c r="AC503" s="123"/>
    </row>
    <row r="504" ht="13.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23"/>
      <c r="AC504" s="123"/>
    </row>
    <row r="505" ht="13.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23"/>
      <c r="AC505" s="123"/>
    </row>
    <row r="506" ht="13.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23"/>
      <c r="AC506" s="123"/>
    </row>
    <row r="507" ht="13.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23"/>
      <c r="AC507" s="123"/>
    </row>
    <row r="508" ht="13.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23"/>
      <c r="AC508" s="123"/>
    </row>
    <row r="509" ht="13.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23"/>
      <c r="AC509" s="123"/>
    </row>
    <row r="510" ht="13.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23"/>
      <c r="AC510" s="123"/>
    </row>
    <row r="511" ht="13.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23"/>
      <c r="AC511" s="123"/>
    </row>
    <row r="512" ht="13.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23"/>
      <c r="AC512" s="123"/>
    </row>
    <row r="513" ht="13.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23"/>
      <c r="AC513" s="123"/>
    </row>
    <row r="514" ht="13.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23"/>
      <c r="AC514" s="123"/>
    </row>
    <row r="515" ht="13.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23"/>
      <c r="AC515" s="123"/>
    </row>
    <row r="516" ht="13.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23"/>
      <c r="AC516" s="123"/>
    </row>
    <row r="517" ht="13.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23"/>
      <c r="AC517" s="123"/>
    </row>
    <row r="518" ht="13.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23"/>
      <c r="AC518" s="123"/>
    </row>
    <row r="519" ht="13.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23"/>
      <c r="AC519" s="123"/>
    </row>
    <row r="520" ht="13.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23"/>
      <c r="AC520" s="123"/>
    </row>
    <row r="521" ht="13.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23"/>
      <c r="AC521" s="123"/>
    </row>
    <row r="522" ht="13.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23"/>
      <c r="AC522" s="123"/>
    </row>
    <row r="523" ht="13.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23"/>
      <c r="AC523" s="123"/>
    </row>
    <row r="524" ht="13.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23"/>
      <c r="AC524" s="123"/>
    </row>
    <row r="525" ht="13.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23"/>
      <c r="AC525" s="123"/>
    </row>
    <row r="526" ht="13.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23"/>
      <c r="AC526" s="123"/>
    </row>
    <row r="527" ht="13.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23"/>
      <c r="AC527" s="123"/>
    </row>
    <row r="528" ht="13.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23"/>
      <c r="AC528" s="123"/>
    </row>
    <row r="529" ht="13.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23"/>
      <c r="AC529" s="123"/>
    </row>
    <row r="530" ht="13.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23"/>
      <c r="AC530" s="123"/>
    </row>
    <row r="531" ht="13.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23"/>
      <c r="AC531" s="123"/>
    </row>
    <row r="532" ht="13.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23"/>
      <c r="AC532" s="123"/>
    </row>
    <row r="533" ht="13.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23"/>
      <c r="AC533" s="123"/>
    </row>
    <row r="534" ht="13.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23"/>
      <c r="AC534" s="123"/>
    </row>
    <row r="535" ht="13.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23"/>
      <c r="AC535" s="123"/>
    </row>
    <row r="536" ht="13.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23"/>
      <c r="AC536" s="123"/>
    </row>
    <row r="537" ht="13.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23"/>
      <c r="AC537" s="123"/>
    </row>
    <row r="538" ht="13.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23"/>
      <c r="AC538" s="123"/>
    </row>
    <row r="539" ht="13.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23"/>
      <c r="AC539" s="123"/>
    </row>
    <row r="540" ht="13.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23"/>
      <c r="AC540" s="123"/>
    </row>
    <row r="541" ht="13.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23"/>
      <c r="AC541" s="123"/>
    </row>
    <row r="542" ht="13.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23"/>
      <c r="AC542" s="123"/>
    </row>
    <row r="543" ht="13.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23"/>
      <c r="AC543" s="123"/>
    </row>
    <row r="544" ht="13.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23"/>
      <c r="AC544" s="123"/>
    </row>
    <row r="545" ht="13.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23"/>
      <c r="AC545" s="123"/>
    </row>
    <row r="546" ht="13.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23"/>
      <c r="AC546" s="123"/>
    </row>
    <row r="547" ht="13.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23"/>
      <c r="AC547" s="123"/>
    </row>
    <row r="548" ht="13.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23"/>
      <c r="AC548" s="123"/>
    </row>
    <row r="549" ht="13.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23"/>
      <c r="AC549" s="123"/>
    </row>
    <row r="550" ht="13.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23"/>
      <c r="AC550" s="123"/>
    </row>
    <row r="551" ht="13.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23"/>
      <c r="AC551" s="123"/>
    </row>
    <row r="552" ht="13.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23"/>
      <c r="AC552" s="123"/>
    </row>
    <row r="553" ht="13.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23"/>
      <c r="AC553" s="123"/>
    </row>
    <row r="554" ht="13.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23"/>
      <c r="AC554" s="123"/>
    </row>
    <row r="555" ht="13.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23"/>
      <c r="AC555" s="123"/>
    </row>
    <row r="556" ht="13.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23"/>
      <c r="AC556" s="123"/>
    </row>
    <row r="557" ht="13.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23"/>
      <c r="AC557" s="123"/>
    </row>
    <row r="558" ht="13.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23"/>
      <c r="AC558" s="123"/>
    </row>
    <row r="559" ht="13.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23"/>
      <c r="AC559" s="123"/>
    </row>
    <row r="560" ht="13.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23"/>
      <c r="AC560" s="123"/>
    </row>
    <row r="561" ht="13.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23"/>
      <c r="AC561" s="123"/>
    </row>
    <row r="562" ht="13.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23"/>
      <c r="AC562" s="123"/>
    </row>
    <row r="563" ht="13.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23"/>
      <c r="AC563" s="123"/>
    </row>
    <row r="564" ht="13.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23"/>
      <c r="AC564" s="123"/>
    </row>
    <row r="565" ht="13.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23"/>
      <c r="AC565" s="123"/>
    </row>
    <row r="566" ht="13.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23"/>
      <c r="AC566" s="123"/>
    </row>
    <row r="567" ht="13.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23"/>
      <c r="AC567" s="123"/>
    </row>
    <row r="568" ht="13.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23"/>
      <c r="AC568" s="123"/>
    </row>
    <row r="569" ht="13.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23"/>
      <c r="AC569" s="123"/>
    </row>
    <row r="570" ht="13.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23"/>
      <c r="AC570" s="123"/>
    </row>
    <row r="571" ht="13.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23"/>
      <c r="AC571" s="123"/>
    </row>
    <row r="572" ht="13.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23"/>
      <c r="AC572" s="123"/>
    </row>
    <row r="573" ht="13.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23"/>
      <c r="AC573" s="123"/>
    </row>
    <row r="574" ht="13.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23"/>
      <c r="AC574" s="123"/>
    </row>
    <row r="575" ht="13.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23"/>
      <c r="AC575" s="123"/>
    </row>
    <row r="576" ht="13.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23"/>
      <c r="AC576" s="123"/>
    </row>
    <row r="577" ht="13.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23"/>
      <c r="AC577" s="123"/>
    </row>
    <row r="578" ht="13.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23"/>
      <c r="AC578" s="123"/>
    </row>
    <row r="579" ht="13.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23"/>
      <c r="AC579" s="123"/>
    </row>
    <row r="580" ht="13.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23"/>
      <c r="AC580" s="123"/>
    </row>
    <row r="581" ht="13.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23"/>
      <c r="AC581" s="123"/>
    </row>
    <row r="582" ht="13.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23"/>
      <c r="AC582" s="123"/>
    </row>
    <row r="583" ht="13.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23"/>
      <c r="AC583" s="123"/>
    </row>
    <row r="584" ht="13.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23"/>
      <c r="AC584" s="123"/>
    </row>
    <row r="585" ht="13.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23"/>
      <c r="AC585" s="123"/>
    </row>
    <row r="586" ht="13.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23"/>
      <c r="AC586" s="123"/>
    </row>
    <row r="587" ht="13.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23"/>
      <c r="AC587" s="123"/>
    </row>
    <row r="588" ht="13.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23"/>
      <c r="AC588" s="123"/>
    </row>
    <row r="589" ht="13.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23"/>
      <c r="AC589" s="123"/>
    </row>
    <row r="590" ht="13.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23"/>
      <c r="AC590" s="123"/>
    </row>
    <row r="591" ht="13.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23"/>
      <c r="AC591" s="123"/>
    </row>
    <row r="592" ht="13.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23"/>
      <c r="AC592" s="123"/>
    </row>
    <row r="593" ht="13.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23"/>
      <c r="AC593" s="123"/>
    </row>
    <row r="594" ht="13.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23"/>
      <c r="AC594" s="123"/>
    </row>
    <row r="595" ht="13.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23"/>
      <c r="AC595" s="123"/>
    </row>
    <row r="596" ht="13.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23"/>
      <c r="AC596" s="123"/>
    </row>
    <row r="597" ht="13.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23"/>
      <c r="AC597" s="123"/>
    </row>
    <row r="598" ht="13.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23"/>
      <c r="AC598" s="123"/>
    </row>
    <row r="599" ht="13.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23"/>
      <c r="AC599" s="123"/>
    </row>
    <row r="600" ht="13.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23"/>
      <c r="AC600" s="123"/>
    </row>
    <row r="601" ht="13.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23"/>
      <c r="AC601" s="123"/>
    </row>
    <row r="602" ht="13.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23"/>
      <c r="AC602" s="123"/>
    </row>
    <row r="603" ht="13.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23"/>
      <c r="AC603" s="123"/>
    </row>
    <row r="604" ht="13.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23"/>
      <c r="AC604" s="123"/>
    </row>
    <row r="605" ht="13.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23"/>
      <c r="AC605" s="123"/>
    </row>
    <row r="606" ht="13.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23"/>
      <c r="AC606" s="123"/>
    </row>
    <row r="607" ht="13.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23"/>
      <c r="AC607" s="123"/>
    </row>
    <row r="608" ht="13.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23"/>
      <c r="AC608" s="123"/>
    </row>
    <row r="609" ht="13.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23"/>
      <c r="AC609" s="123"/>
    </row>
    <row r="610" ht="13.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23"/>
      <c r="AC610" s="123"/>
    </row>
    <row r="611" ht="13.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23"/>
      <c r="AC611" s="123"/>
    </row>
    <row r="612" ht="13.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23"/>
      <c r="AC612" s="123"/>
    </row>
    <row r="613" ht="13.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23"/>
      <c r="AC613" s="123"/>
    </row>
    <row r="614" ht="13.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23"/>
      <c r="AC614" s="123"/>
    </row>
    <row r="615" ht="13.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23"/>
      <c r="AC615" s="123"/>
    </row>
    <row r="616" ht="13.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23"/>
      <c r="AC616" s="123"/>
    </row>
    <row r="617" ht="13.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23"/>
      <c r="AC617" s="123"/>
    </row>
    <row r="618" ht="13.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23"/>
      <c r="AC618" s="123"/>
    </row>
    <row r="619" ht="13.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23"/>
      <c r="AC619" s="123"/>
    </row>
    <row r="620" ht="13.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23"/>
      <c r="AC620" s="123"/>
    </row>
    <row r="621" ht="13.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23"/>
      <c r="AC621" s="123"/>
    </row>
    <row r="622" ht="13.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23"/>
      <c r="AC622" s="123"/>
    </row>
    <row r="623" ht="13.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23"/>
      <c r="AC623" s="123"/>
    </row>
    <row r="624" ht="13.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23"/>
      <c r="AC624" s="123"/>
    </row>
    <row r="625" ht="13.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23"/>
      <c r="AC625" s="123"/>
    </row>
    <row r="626" ht="13.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23"/>
      <c r="AC626" s="123"/>
    </row>
    <row r="627" ht="13.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23"/>
      <c r="AC627" s="123"/>
    </row>
    <row r="628" ht="13.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23"/>
      <c r="AC628" s="123"/>
    </row>
    <row r="629" ht="13.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23"/>
      <c r="AC629" s="123"/>
    </row>
    <row r="630" ht="13.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23"/>
      <c r="AC630" s="123"/>
    </row>
    <row r="631" ht="13.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23"/>
      <c r="AC631" s="123"/>
    </row>
    <row r="632" ht="13.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23"/>
      <c r="AC632" s="123"/>
    </row>
    <row r="633" ht="13.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23"/>
      <c r="AC633" s="123"/>
    </row>
    <row r="634" ht="13.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23"/>
      <c r="AC634" s="123"/>
    </row>
    <row r="635" ht="13.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23"/>
      <c r="AC635" s="123"/>
    </row>
    <row r="636" ht="13.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23"/>
      <c r="AC636" s="123"/>
    </row>
    <row r="637" ht="13.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23"/>
      <c r="AC637" s="123"/>
    </row>
    <row r="638" ht="13.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23"/>
      <c r="AC638" s="123"/>
    </row>
    <row r="639" ht="13.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23"/>
      <c r="AC639" s="123"/>
    </row>
    <row r="640" ht="13.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23"/>
      <c r="AC640" s="123"/>
    </row>
    <row r="641" ht="13.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23"/>
      <c r="AC641" s="123"/>
    </row>
    <row r="642" ht="13.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23"/>
      <c r="AC642" s="123"/>
    </row>
    <row r="643" ht="13.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23"/>
      <c r="AC643" s="123"/>
    </row>
    <row r="644" ht="13.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23"/>
      <c r="AC644" s="123"/>
    </row>
    <row r="645" ht="13.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23"/>
      <c r="AC645" s="123"/>
    </row>
    <row r="646" ht="13.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23"/>
      <c r="AC646" s="123"/>
    </row>
    <row r="647" ht="13.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23"/>
      <c r="AC647" s="123"/>
    </row>
    <row r="648" ht="13.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23"/>
      <c r="AC648" s="123"/>
    </row>
    <row r="649" ht="13.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23"/>
      <c r="AC649" s="123"/>
    </row>
    <row r="650" ht="13.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23"/>
      <c r="AC650" s="123"/>
    </row>
    <row r="651" ht="13.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23"/>
      <c r="AC651" s="123"/>
    </row>
    <row r="652" ht="13.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23"/>
      <c r="AC652" s="123"/>
    </row>
    <row r="653" ht="13.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23"/>
      <c r="AC653" s="123"/>
    </row>
    <row r="654" ht="13.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23"/>
      <c r="AC654" s="123"/>
    </row>
    <row r="655" ht="13.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23"/>
      <c r="AC655" s="123"/>
    </row>
    <row r="656" ht="13.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23"/>
      <c r="AC656" s="123"/>
    </row>
    <row r="657" ht="13.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23"/>
      <c r="AC657" s="123"/>
    </row>
    <row r="658" ht="13.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23"/>
      <c r="AC658" s="123"/>
    </row>
    <row r="659" ht="13.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23"/>
      <c r="AC659" s="123"/>
    </row>
    <row r="660" ht="13.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23"/>
      <c r="AC660" s="123"/>
    </row>
    <row r="661" ht="13.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23"/>
      <c r="AC661" s="123"/>
    </row>
    <row r="662" ht="13.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23"/>
      <c r="AC662" s="123"/>
    </row>
    <row r="663" ht="13.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23"/>
      <c r="AC663" s="123"/>
    </row>
    <row r="664" ht="13.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23"/>
      <c r="AC664" s="123"/>
    </row>
    <row r="665" ht="13.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23"/>
      <c r="AC665" s="123"/>
    </row>
    <row r="666" ht="13.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23"/>
      <c r="AC666" s="123"/>
    </row>
    <row r="667" ht="13.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23"/>
      <c r="AC667" s="123"/>
    </row>
    <row r="668" ht="13.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23"/>
      <c r="AC668" s="123"/>
    </row>
    <row r="669" ht="13.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23"/>
      <c r="AC669" s="123"/>
    </row>
    <row r="670" ht="13.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23"/>
      <c r="AC670" s="123"/>
    </row>
    <row r="671" ht="13.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23"/>
      <c r="AC671" s="123"/>
    </row>
    <row r="672" ht="13.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23"/>
      <c r="AC672" s="123"/>
    </row>
    <row r="673" ht="13.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23"/>
      <c r="AC673" s="123"/>
    </row>
    <row r="674" ht="13.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23"/>
      <c r="AC674" s="123"/>
    </row>
    <row r="675" ht="13.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23"/>
      <c r="AC675" s="123"/>
    </row>
    <row r="676" ht="13.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23"/>
      <c r="AC676" s="123"/>
    </row>
    <row r="677" ht="13.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23"/>
      <c r="AC677" s="123"/>
    </row>
    <row r="678" ht="13.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23"/>
      <c r="AC678" s="123"/>
    </row>
    <row r="679" ht="13.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23"/>
      <c r="AC679" s="123"/>
    </row>
    <row r="680" ht="13.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23"/>
      <c r="AC680" s="123"/>
    </row>
    <row r="681" ht="13.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23"/>
      <c r="AC681" s="123"/>
    </row>
    <row r="682" ht="13.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23"/>
      <c r="AC682" s="123"/>
    </row>
    <row r="683" ht="13.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23"/>
      <c r="AC683" s="123"/>
    </row>
    <row r="684" ht="13.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23"/>
      <c r="AC684" s="123"/>
    </row>
    <row r="685" ht="13.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23"/>
      <c r="AC685" s="123"/>
    </row>
    <row r="686" ht="13.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23"/>
      <c r="AC686" s="123"/>
    </row>
    <row r="687" ht="13.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23"/>
      <c r="AC687" s="123"/>
    </row>
    <row r="688" ht="13.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23"/>
      <c r="AC688" s="123"/>
    </row>
    <row r="689" ht="13.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23"/>
      <c r="AC689" s="123"/>
    </row>
    <row r="690" ht="13.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23"/>
      <c r="AC690" s="123"/>
    </row>
    <row r="691" ht="13.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23"/>
      <c r="AC691" s="123"/>
    </row>
    <row r="692" ht="13.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23"/>
      <c r="AC692" s="123"/>
    </row>
    <row r="693" ht="13.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23"/>
      <c r="AC693" s="123"/>
    </row>
    <row r="694" ht="13.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23"/>
      <c r="AC694" s="123"/>
    </row>
    <row r="695" ht="13.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23"/>
      <c r="AC695" s="123"/>
    </row>
    <row r="696" ht="13.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23"/>
      <c r="AC696" s="123"/>
    </row>
    <row r="697" ht="13.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23"/>
      <c r="AC697" s="123"/>
    </row>
    <row r="698" ht="13.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23"/>
      <c r="AC698" s="123"/>
    </row>
    <row r="699" ht="13.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23"/>
      <c r="AC699" s="123"/>
    </row>
    <row r="700" ht="13.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23"/>
      <c r="AC700" s="123"/>
    </row>
    <row r="701" ht="13.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23"/>
      <c r="AC701" s="123"/>
    </row>
    <row r="702" ht="13.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23"/>
      <c r="AC702" s="123"/>
    </row>
    <row r="703" ht="13.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23"/>
      <c r="AC703" s="123"/>
    </row>
    <row r="704" ht="13.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23"/>
      <c r="AC704" s="123"/>
    </row>
    <row r="705" ht="13.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23"/>
      <c r="AC705" s="123"/>
    </row>
    <row r="706" ht="13.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23"/>
      <c r="AC706" s="123"/>
    </row>
    <row r="707" ht="13.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23"/>
      <c r="AC707" s="123"/>
    </row>
    <row r="708" ht="13.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23"/>
      <c r="AC708" s="123"/>
    </row>
    <row r="709" ht="13.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23"/>
      <c r="AC709" s="123"/>
    </row>
    <row r="710" ht="13.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23"/>
      <c r="AC710" s="123"/>
    </row>
    <row r="711" ht="13.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23"/>
      <c r="AC711" s="123"/>
    </row>
    <row r="712" ht="13.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23"/>
      <c r="AC712" s="123"/>
    </row>
    <row r="713" ht="13.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23"/>
      <c r="AC713" s="123"/>
    </row>
    <row r="714" ht="13.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23"/>
      <c r="AC714" s="123"/>
    </row>
    <row r="715" ht="13.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23"/>
      <c r="AC715" s="123"/>
    </row>
    <row r="716" ht="13.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23"/>
      <c r="AC716" s="123"/>
    </row>
    <row r="717" ht="13.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23"/>
      <c r="AC717" s="123"/>
    </row>
    <row r="718" ht="13.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23"/>
      <c r="AC718" s="123"/>
    </row>
    <row r="719" ht="13.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23"/>
      <c r="AC719" s="123"/>
    </row>
    <row r="720" ht="13.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23"/>
      <c r="AC720" s="123"/>
    </row>
    <row r="721" ht="13.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23"/>
      <c r="AC721" s="123"/>
    </row>
    <row r="722" ht="13.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23"/>
      <c r="AC722" s="123"/>
    </row>
    <row r="723" ht="13.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23"/>
      <c r="AC723" s="123"/>
    </row>
    <row r="724" ht="13.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23"/>
      <c r="AC724" s="123"/>
    </row>
    <row r="725" ht="13.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23"/>
      <c r="AC725" s="123"/>
    </row>
    <row r="726" ht="13.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23"/>
      <c r="AC726" s="123"/>
    </row>
    <row r="727" ht="13.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23"/>
      <c r="AC727" s="123"/>
    </row>
    <row r="728" ht="13.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23"/>
      <c r="AC728" s="123"/>
    </row>
    <row r="729" ht="13.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23"/>
      <c r="AC729" s="123"/>
    </row>
    <row r="730" ht="13.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23"/>
      <c r="AC730" s="123"/>
    </row>
    <row r="731" ht="13.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23"/>
      <c r="AC731" s="123"/>
    </row>
    <row r="732" ht="13.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23"/>
      <c r="AC732" s="123"/>
    </row>
    <row r="733" ht="13.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23"/>
      <c r="AC733" s="123"/>
    </row>
    <row r="734" ht="13.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23"/>
      <c r="AC734" s="123"/>
    </row>
    <row r="735" ht="13.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23"/>
      <c r="AC735" s="123"/>
    </row>
    <row r="736" ht="13.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23"/>
      <c r="AC736" s="123"/>
    </row>
    <row r="737" ht="13.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23"/>
      <c r="AC737" s="123"/>
    </row>
    <row r="738" ht="13.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23"/>
      <c r="AC738" s="123"/>
    </row>
    <row r="739" ht="13.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23"/>
      <c r="AC739" s="123"/>
    </row>
    <row r="740" ht="13.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23"/>
      <c r="AC740" s="123"/>
    </row>
    <row r="741" ht="13.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23"/>
      <c r="AC741" s="123"/>
    </row>
    <row r="742" ht="13.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23"/>
      <c r="AC742" s="123"/>
    </row>
    <row r="743" ht="13.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23"/>
      <c r="AC743" s="123"/>
    </row>
    <row r="744" ht="13.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23"/>
      <c r="AC744" s="123"/>
    </row>
    <row r="745" ht="13.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23"/>
      <c r="AC745" s="123"/>
    </row>
    <row r="746" ht="13.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23"/>
      <c r="AC746" s="123"/>
    </row>
    <row r="747" ht="13.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23"/>
      <c r="AC747" s="123"/>
    </row>
    <row r="748" ht="13.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23"/>
      <c r="AC748" s="123"/>
    </row>
    <row r="749" ht="13.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23"/>
      <c r="AC749" s="123"/>
    </row>
    <row r="750" ht="13.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23"/>
      <c r="AC750" s="123"/>
    </row>
    <row r="751" ht="13.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23"/>
      <c r="AC751" s="123"/>
    </row>
    <row r="752" ht="13.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23"/>
      <c r="AC752" s="123"/>
    </row>
    <row r="753" ht="13.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23"/>
      <c r="AC753" s="123"/>
    </row>
    <row r="754" ht="13.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23"/>
      <c r="AC754" s="123"/>
    </row>
    <row r="755" ht="13.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23"/>
      <c r="AC755" s="123"/>
    </row>
    <row r="756" ht="13.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23"/>
      <c r="AC756" s="123"/>
    </row>
    <row r="757" ht="13.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23"/>
      <c r="AC757" s="123"/>
    </row>
    <row r="758" ht="13.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23"/>
      <c r="AC758" s="123"/>
    </row>
    <row r="759" ht="13.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23"/>
      <c r="AC759" s="123"/>
    </row>
    <row r="760" ht="13.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23"/>
      <c r="AC760" s="123"/>
    </row>
    <row r="761" ht="13.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23"/>
      <c r="AC761" s="123"/>
    </row>
    <row r="762" ht="13.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23"/>
      <c r="AC762" s="123"/>
    </row>
    <row r="763" ht="13.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23"/>
      <c r="AC763" s="123"/>
    </row>
    <row r="764" ht="13.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23"/>
      <c r="AC764" s="123"/>
    </row>
    <row r="765" ht="13.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23"/>
      <c r="AC765" s="123"/>
    </row>
    <row r="766" ht="13.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23"/>
      <c r="AC766" s="123"/>
    </row>
    <row r="767" ht="13.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23"/>
      <c r="AC767" s="123"/>
    </row>
    <row r="768" ht="13.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23"/>
      <c r="AC768" s="123"/>
    </row>
    <row r="769" ht="13.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23"/>
      <c r="AC769" s="123"/>
    </row>
    <row r="770" ht="13.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23"/>
      <c r="AC770" s="123"/>
    </row>
    <row r="771" ht="13.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23"/>
      <c r="AC771" s="123"/>
    </row>
    <row r="772" ht="13.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23"/>
      <c r="AC772" s="123"/>
    </row>
    <row r="773" ht="13.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23"/>
      <c r="AC773" s="123"/>
    </row>
    <row r="774" ht="13.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23"/>
      <c r="AC774" s="123"/>
    </row>
    <row r="775" ht="13.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23"/>
      <c r="AC775" s="123"/>
    </row>
    <row r="776" ht="13.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23"/>
      <c r="AC776" s="123"/>
    </row>
    <row r="777" ht="13.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23"/>
      <c r="AC777" s="123"/>
    </row>
    <row r="778" ht="13.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23"/>
      <c r="AC778" s="123"/>
    </row>
    <row r="779" ht="13.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23"/>
      <c r="AC779" s="123"/>
    </row>
    <row r="780" ht="13.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23"/>
      <c r="AC780" s="123"/>
    </row>
    <row r="781" ht="13.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23"/>
      <c r="AC781" s="123"/>
    </row>
    <row r="782" ht="13.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23"/>
      <c r="AC782" s="123"/>
    </row>
    <row r="783" ht="13.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23"/>
      <c r="AC783" s="123"/>
    </row>
    <row r="784" ht="13.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23"/>
      <c r="AC784" s="123"/>
    </row>
    <row r="785" ht="13.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23"/>
      <c r="AC785" s="123"/>
    </row>
    <row r="786" ht="13.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23"/>
      <c r="AC786" s="123"/>
    </row>
    <row r="787" ht="13.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23"/>
      <c r="AC787" s="123"/>
    </row>
    <row r="788" ht="13.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23"/>
      <c r="AC788" s="123"/>
    </row>
    <row r="789" ht="13.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23"/>
      <c r="AC789" s="123"/>
    </row>
    <row r="790" ht="13.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23"/>
      <c r="AC790" s="123"/>
    </row>
    <row r="791" ht="13.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23"/>
      <c r="AC791" s="123"/>
    </row>
    <row r="792" ht="13.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23"/>
      <c r="AC792" s="123"/>
    </row>
    <row r="793" ht="13.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23"/>
      <c r="AC793" s="123"/>
    </row>
    <row r="794" ht="13.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23"/>
      <c r="AC794" s="123"/>
    </row>
    <row r="795" ht="13.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23"/>
      <c r="AC795" s="123"/>
    </row>
    <row r="796" ht="13.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23"/>
      <c r="AC796" s="123"/>
    </row>
    <row r="797" ht="13.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23"/>
      <c r="AC797" s="123"/>
    </row>
    <row r="798" ht="13.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23"/>
      <c r="AC798" s="123"/>
    </row>
    <row r="799" ht="13.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23"/>
      <c r="AC799" s="123"/>
    </row>
    <row r="800" ht="13.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23"/>
      <c r="AC800" s="123"/>
    </row>
    <row r="801" ht="13.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23"/>
      <c r="AC801" s="123"/>
    </row>
    <row r="802" ht="13.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23"/>
      <c r="AC802" s="123"/>
    </row>
    <row r="803" ht="13.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23"/>
      <c r="AC803" s="123"/>
    </row>
    <row r="804" ht="13.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23"/>
      <c r="AC804" s="123"/>
    </row>
    <row r="805" ht="13.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23"/>
      <c r="AC805" s="123"/>
    </row>
    <row r="806" ht="13.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23"/>
      <c r="AC806" s="123"/>
    </row>
    <row r="807" ht="13.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23"/>
      <c r="AC807" s="123"/>
    </row>
    <row r="808" ht="13.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23"/>
      <c r="AC808" s="123"/>
    </row>
    <row r="809" ht="13.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23"/>
      <c r="AC809" s="123"/>
    </row>
    <row r="810" ht="13.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23"/>
      <c r="AC810" s="123"/>
    </row>
    <row r="811" ht="13.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23"/>
      <c r="AC811" s="123"/>
    </row>
    <row r="812" ht="13.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23"/>
      <c r="AC812" s="123"/>
    </row>
    <row r="813" ht="13.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23"/>
      <c r="AC813" s="123"/>
    </row>
    <row r="814" ht="13.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23"/>
      <c r="AC814" s="123"/>
    </row>
    <row r="815" ht="13.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23"/>
      <c r="AC815" s="123"/>
    </row>
    <row r="816" ht="13.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23"/>
      <c r="AC816" s="123"/>
    </row>
    <row r="817" ht="13.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23"/>
      <c r="AC817" s="123"/>
    </row>
    <row r="818" ht="13.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23"/>
      <c r="AC818" s="123"/>
    </row>
    <row r="819" ht="13.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23"/>
      <c r="AC819" s="123"/>
    </row>
    <row r="820" ht="13.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23"/>
      <c r="AC820" s="123"/>
    </row>
    <row r="821" ht="13.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23"/>
      <c r="AC821" s="123"/>
    </row>
    <row r="822" ht="13.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23"/>
      <c r="AC822" s="123"/>
    </row>
    <row r="823" ht="13.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23"/>
      <c r="AC823" s="123"/>
    </row>
    <row r="824" ht="13.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23"/>
      <c r="AC824" s="123"/>
    </row>
    <row r="825" ht="13.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23"/>
      <c r="AC825" s="123"/>
    </row>
    <row r="826" ht="13.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23"/>
      <c r="AC826" s="123"/>
    </row>
    <row r="827" ht="13.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23"/>
      <c r="AC827" s="123"/>
    </row>
    <row r="828" ht="13.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23"/>
      <c r="AC828" s="123"/>
    </row>
    <row r="829" ht="13.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23"/>
      <c r="AC829" s="123"/>
    </row>
    <row r="830" ht="13.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23"/>
      <c r="AC830" s="123"/>
    </row>
    <row r="831" ht="13.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23"/>
      <c r="AC831" s="123"/>
    </row>
    <row r="832" ht="13.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23"/>
      <c r="AC832" s="123"/>
    </row>
    <row r="833" ht="13.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23"/>
      <c r="AC833" s="123"/>
    </row>
    <row r="834" ht="13.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23"/>
      <c r="AC834" s="123"/>
    </row>
    <row r="835" ht="13.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23"/>
      <c r="AC835" s="123"/>
    </row>
    <row r="836" ht="13.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23"/>
      <c r="AC836" s="123"/>
    </row>
    <row r="837" ht="13.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23"/>
      <c r="AC837" s="123"/>
    </row>
    <row r="838" ht="13.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23"/>
      <c r="AC838" s="123"/>
    </row>
    <row r="839" ht="13.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23"/>
      <c r="AC839" s="123"/>
    </row>
    <row r="840" ht="13.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23"/>
      <c r="AC840" s="123"/>
    </row>
    <row r="841" ht="13.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23"/>
      <c r="AC841" s="123"/>
    </row>
    <row r="842" ht="13.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23"/>
      <c r="AC842" s="123"/>
    </row>
    <row r="843" ht="13.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23"/>
      <c r="AC843" s="123"/>
    </row>
    <row r="844" ht="13.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23"/>
      <c r="AC844" s="123"/>
    </row>
    <row r="845" ht="13.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23"/>
      <c r="AC845" s="123"/>
    </row>
    <row r="846" ht="13.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23"/>
      <c r="AC846" s="123"/>
    </row>
    <row r="847" ht="13.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23"/>
      <c r="AC847" s="123"/>
    </row>
    <row r="848" ht="13.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23"/>
      <c r="AC848" s="123"/>
    </row>
    <row r="849" ht="13.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23"/>
      <c r="AC849" s="123"/>
    </row>
    <row r="850" ht="13.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23"/>
      <c r="AC850" s="123"/>
    </row>
    <row r="851" ht="13.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23"/>
      <c r="AC851" s="123"/>
    </row>
    <row r="852" ht="13.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23"/>
      <c r="AC852" s="123"/>
    </row>
    <row r="853" ht="13.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23"/>
      <c r="AC853" s="123"/>
    </row>
    <row r="854" ht="13.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23"/>
      <c r="AC854" s="123"/>
    </row>
    <row r="855" ht="13.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23"/>
      <c r="AC855" s="123"/>
    </row>
    <row r="856" ht="13.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23"/>
      <c r="AC856" s="123"/>
    </row>
    <row r="857" ht="13.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23"/>
      <c r="AC857" s="123"/>
    </row>
    <row r="858" ht="13.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23"/>
      <c r="AC858" s="123"/>
    </row>
    <row r="859" ht="13.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23"/>
      <c r="AC859" s="123"/>
    </row>
    <row r="860" ht="13.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23"/>
      <c r="AC860" s="123"/>
    </row>
    <row r="861" ht="13.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23"/>
      <c r="AC861" s="123"/>
    </row>
    <row r="862" ht="13.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23"/>
      <c r="AC862" s="123"/>
    </row>
    <row r="863" ht="13.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23"/>
      <c r="AC863" s="123"/>
    </row>
    <row r="864" ht="13.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23"/>
      <c r="AC864" s="123"/>
    </row>
    <row r="865" ht="13.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23"/>
      <c r="AC865" s="123"/>
    </row>
    <row r="866" ht="13.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23"/>
      <c r="AC866" s="123"/>
    </row>
    <row r="867" ht="13.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23"/>
      <c r="AC867" s="123"/>
    </row>
    <row r="868" ht="13.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23"/>
      <c r="AC868" s="123"/>
    </row>
    <row r="869" ht="13.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23"/>
      <c r="AC869" s="123"/>
    </row>
    <row r="870" ht="13.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23"/>
      <c r="AC870" s="123"/>
    </row>
    <row r="871" ht="13.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23"/>
      <c r="AC871" s="123"/>
    </row>
    <row r="872" ht="13.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23"/>
      <c r="AC872" s="123"/>
    </row>
    <row r="873" ht="13.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23"/>
      <c r="AC873" s="123"/>
    </row>
    <row r="874" ht="13.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23"/>
      <c r="AC874" s="123"/>
    </row>
    <row r="875" ht="13.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23"/>
      <c r="AC875" s="123"/>
    </row>
    <row r="876" ht="13.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23"/>
      <c r="AC876" s="123"/>
    </row>
    <row r="877" ht="13.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23"/>
      <c r="AC877" s="123"/>
    </row>
    <row r="878" ht="13.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23"/>
      <c r="AC878" s="123"/>
    </row>
    <row r="879" ht="13.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23"/>
      <c r="AC879" s="123"/>
    </row>
    <row r="880" ht="13.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23"/>
      <c r="AC880" s="123"/>
    </row>
    <row r="881" ht="13.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23"/>
      <c r="AC881" s="123"/>
    </row>
    <row r="882" ht="13.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23"/>
      <c r="AC882" s="123"/>
    </row>
    <row r="883" ht="13.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23"/>
      <c r="AC883" s="123"/>
    </row>
    <row r="884" ht="13.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23"/>
      <c r="AC884" s="123"/>
    </row>
    <row r="885" ht="13.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23"/>
      <c r="AC885" s="123"/>
    </row>
    <row r="886" ht="13.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23"/>
      <c r="AC886" s="123"/>
    </row>
    <row r="887" ht="13.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23"/>
      <c r="AC887" s="123"/>
    </row>
    <row r="888" ht="13.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23"/>
      <c r="AC888" s="123"/>
    </row>
    <row r="889" ht="13.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23"/>
      <c r="AC889" s="123"/>
    </row>
    <row r="890" ht="13.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23"/>
      <c r="AC890" s="123"/>
    </row>
    <row r="891" ht="13.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23"/>
      <c r="AC891" s="123"/>
    </row>
    <row r="892" ht="13.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23"/>
      <c r="AC892" s="123"/>
    </row>
    <row r="893" ht="13.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23"/>
      <c r="AC893" s="123"/>
    </row>
    <row r="894" ht="13.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23"/>
      <c r="AC894" s="123"/>
    </row>
    <row r="895" ht="13.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23"/>
      <c r="AC895" s="123"/>
    </row>
    <row r="896" ht="13.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23"/>
      <c r="AC896" s="123"/>
    </row>
    <row r="897" ht="13.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23"/>
      <c r="AC897" s="123"/>
    </row>
    <row r="898" ht="13.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23"/>
      <c r="AC898" s="123"/>
    </row>
    <row r="899" ht="13.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23"/>
      <c r="AC899" s="123"/>
    </row>
    <row r="900" ht="13.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23"/>
      <c r="AC900" s="123"/>
    </row>
    <row r="901" ht="13.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23"/>
      <c r="AC901" s="123"/>
    </row>
    <row r="902" ht="13.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23"/>
      <c r="AC902" s="123"/>
    </row>
    <row r="903" ht="13.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23"/>
      <c r="AC903" s="123"/>
    </row>
    <row r="904" ht="13.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23"/>
      <c r="AC904" s="123"/>
    </row>
    <row r="905" ht="13.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23"/>
      <c r="AC905" s="123"/>
    </row>
    <row r="906" ht="13.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23"/>
      <c r="AC906" s="123"/>
    </row>
    <row r="907" ht="13.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23"/>
      <c r="AC907" s="123"/>
    </row>
    <row r="908" ht="13.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23"/>
      <c r="AC908" s="123"/>
    </row>
    <row r="909" ht="13.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23"/>
      <c r="AC909" s="123"/>
    </row>
    <row r="910" ht="13.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23"/>
      <c r="AC910" s="123"/>
    </row>
    <row r="911" ht="13.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23"/>
      <c r="AC911" s="123"/>
    </row>
    <row r="912" ht="13.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23"/>
      <c r="AC912" s="123"/>
    </row>
    <row r="913" ht="13.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23"/>
      <c r="AC913" s="123"/>
    </row>
    <row r="914" ht="13.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23"/>
      <c r="AC914" s="123"/>
    </row>
    <row r="915" ht="13.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23"/>
      <c r="AC915" s="123"/>
    </row>
    <row r="916" ht="13.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23"/>
      <c r="AC916" s="123"/>
    </row>
    <row r="917" ht="13.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23"/>
      <c r="AC917" s="123"/>
    </row>
    <row r="918" ht="13.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23"/>
      <c r="AC918" s="123"/>
    </row>
    <row r="919" ht="13.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23"/>
      <c r="AC919" s="123"/>
    </row>
    <row r="920" ht="13.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23"/>
      <c r="AC920" s="123"/>
    </row>
    <row r="921" ht="13.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23"/>
      <c r="AC921" s="123"/>
    </row>
    <row r="922" ht="13.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23"/>
      <c r="AC922" s="123"/>
    </row>
    <row r="923" ht="13.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23"/>
      <c r="AC923" s="123"/>
    </row>
    <row r="924" ht="13.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23"/>
      <c r="AC924" s="123"/>
    </row>
    <row r="925" ht="13.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23"/>
      <c r="AC925" s="123"/>
    </row>
    <row r="926" ht="13.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23"/>
      <c r="AC926" s="123"/>
    </row>
    <row r="927" ht="13.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23"/>
      <c r="AC927" s="123"/>
    </row>
    <row r="928" ht="13.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23"/>
      <c r="AC928" s="123"/>
    </row>
    <row r="929" ht="13.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23"/>
      <c r="AC929" s="123"/>
    </row>
    <row r="930" ht="13.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23"/>
      <c r="AC930" s="123"/>
    </row>
    <row r="931" ht="13.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23"/>
      <c r="AC931" s="123"/>
    </row>
    <row r="932" ht="13.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23"/>
      <c r="AC932" s="123"/>
    </row>
    <row r="933" ht="13.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23"/>
      <c r="AC933" s="123"/>
    </row>
    <row r="934" ht="13.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23"/>
      <c r="AC934" s="123"/>
    </row>
    <row r="935" ht="13.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23"/>
      <c r="AC935" s="123"/>
    </row>
    <row r="936" ht="13.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23"/>
      <c r="AC936" s="123"/>
    </row>
    <row r="937" ht="13.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23"/>
      <c r="AC937" s="123"/>
    </row>
    <row r="938" ht="13.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23"/>
      <c r="AC938" s="123"/>
    </row>
    <row r="939" ht="13.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23"/>
      <c r="AC939" s="123"/>
    </row>
    <row r="940" ht="13.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23"/>
      <c r="AC940" s="123"/>
    </row>
    <row r="941" ht="13.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23"/>
      <c r="AC941" s="123"/>
    </row>
    <row r="942" ht="13.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23"/>
      <c r="AC942" s="123"/>
    </row>
    <row r="943" ht="13.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23"/>
      <c r="AC943" s="123"/>
    </row>
    <row r="944" ht="13.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23"/>
      <c r="AC944" s="123"/>
    </row>
    <row r="945" ht="13.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23"/>
      <c r="AC945" s="123"/>
    </row>
    <row r="946" ht="13.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23"/>
      <c r="AC946" s="123"/>
    </row>
    <row r="947" ht="13.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23"/>
      <c r="AC947" s="123"/>
    </row>
    <row r="948" ht="13.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23"/>
      <c r="AC948" s="123"/>
    </row>
    <row r="949" ht="13.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23"/>
      <c r="AC949" s="123"/>
    </row>
    <row r="950" ht="13.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23"/>
      <c r="AC950" s="123"/>
    </row>
    <row r="951" ht="13.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23"/>
      <c r="AC951" s="123"/>
    </row>
    <row r="952" ht="13.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23"/>
      <c r="AC952" s="123"/>
    </row>
    <row r="953" ht="13.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23"/>
      <c r="AC953" s="123"/>
    </row>
    <row r="954" ht="13.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23"/>
      <c r="AC954" s="123"/>
    </row>
    <row r="955" ht="13.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23"/>
      <c r="AC955" s="123"/>
    </row>
    <row r="956" ht="13.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23"/>
      <c r="AC956" s="123"/>
    </row>
    <row r="957" ht="13.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23"/>
      <c r="AC957" s="123"/>
    </row>
    <row r="958" ht="13.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23"/>
      <c r="AC958" s="123"/>
    </row>
    <row r="959" ht="13.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23"/>
      <c r="AC959" s="123"/>
    </row>
    <row r="960" ht="13.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23"/>
      <c r="AC960" s="123"/>
    </row>
    <row r="961" ht="13.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23"/>
      <c r="AC961" s="123"/>
    </row>
    <row r="962" ht="13.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23"/>
      <c r="AC962" s="123"/>
    </row>
    <row r="963" ht="13.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23"/>
      <c r="AC963" s="123"/>
    </row>
    <row r="964" ht="13.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23"/>
      <c r="AC964" s="123"/>
    </row>
    <row r="965" ht="13.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23"/>
      <c r="AC965" s="123"/>
    </row>
    <row r="966" ht="13.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23"/>
      <c r="AC966" s="123"/>
    </row>
    <row r="967" ht="13.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23"/>
      <c r="AC967" s="123"/>
    </row>
    <row r="968" ht="13.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23"/>
      <c r="AC968" s="123"/>
    </row>
    <row r="969" ht="13.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23"/>
      <c r="AC969" s="123"/>
    </row>
    <row r="970" ht="13.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23"/>
      <c r="AC970" s="123"/>
    </row>
    <row r="971" ht="13.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23"/>
      <c r="AC971" s="123"/>
    </row>
    <row r="972" ht="13.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23"/>
      <c r="AC972" s="123"/>
    </row>
    <row r="973" ht="13.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23"/>
      <c r="AC973" s="123"/>
    </row>
    <row r="974" ht="13.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23"/>
      <c r="AC974" s="123"/>
    </row>
    <row r="975" ht="13.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23"/>
      <c r="AC975" s="123"/>
    </row>
    <row r="976" ht="13.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23"/>
      <c r="AC976" s="123"/>
    </row>
    <row r="977" ht="13.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23"/>
      <c r="AC977" s="123"/>
    </row>
    <row r="978" ht="13.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23"/>
      <c r="AC978" s="123"/>
    </row>
    <row r="979" ht="13.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23"/>
      <c r="AC979" s="123"/>
    </row>
    <row r="980" ht="13.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23"/>
      <c r="AC980" s="123"/>
    </row>
    <row r="981" ht="13.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23"/>
      <c r="AC981" s="123"/>
    </row>
    <row r="982" ht="13.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23"/>
      <c r="AC982" s="123"/>
    </row>
    <row r="983" ht="13.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23"/>
      <c r="AC983" s="123"/>
    </row>
    <row r="984" ht="13.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23"/>
      <c r="AC984" s="123"/>
    </row>
    <row r="985" ht="13.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23"/>
      <c r="AC985" s="123"/>
    </row>
    <row r="986" ht="13.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23"/>
      <c r="AC986" s="123"/>
    </row>
    <row r="987" ht="13.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23"/>
      <c r="AC987" s="123"/>
    </row>
    <row r="988" ht="13.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23"/>
      <c r="AC988" s="123"/>
    </row>
    <row r="989" ht="13.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23"/>
      <c r="AC989" s="123"/>
    </row>
    <row r="990" ht="13.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23"/>
      <c r="AC990" s="123"/>
    </row>
    <row r="991" ht="13.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23"/>
      <c r="AC991" s="123"/>
    </row>
    <row r="992" ht="13.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23"/>
      <c r="AC992" s="123"/>
    </row>
    <row r="993" ht="13.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23"/>
      <c r="AC993" s="123"/>
    </row>
    <row r="994" ht="13.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23"/>
      <c r="AC994" s="123"/>
    </row>
    <row r="995" ht="13.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23"/>
      <c r="AC995" s="123"/>
    </row>
    <row r="996" ht="13.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23"/>
      <c r="AC996" s="123"/>
    </row>
    <row r="997" ht="13.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23"/>
      <c r="AC997" s="123"/>
    </row>
    <row r="998" ht="13.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23"/>
      <c r="AC998" s="123"/>
    </row>
    <row r="999" ht="13.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23"/>
      <c r="AC999" s="123"/>
    </row>
    <row r="1000" ht="13.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23"/>
      <c r="AC1000" s="123"/>
    </row>
  </sheetData>
  <mergeCells count="133">
    <mergeCell ref="K5:N5"/>
    <mergeCell ref="O5:R5"/>
    <mergeCell ref="S5:V5"/>
    <mergeCell ref="W5:X5"/>
    <mergeCell ref="B1:B4"/>
    <mergeCell ref="C1:R1"/>
    <mergeCell ref="S1:X4"/>
    <mergeCell ref="C2:R4"/>
    <mergeCell ref="C5:D5"/>
    <mergeCell ref="E5:G5"/>
    <mergeCell ref="H5:J5"/>
    <mergeCell ref="K10:N11"/>
    <mergeCell ref="O11:R11"/>
    <mergeCell ref="S11:U11"/>
    <mergeCell ref="V11:X11"/>
    <mergeCell ref="B6:X6"/>
    <mergeCell ref="B7:X7"/>
    <mergeCell ref="B8:X8"/>
    <mergeCell ref="B9:X9"/>
    <mergeCell ref="B10:F11"/>
    <mergeCell ref="G10:J11"/>
    <mergeCell ref="O10:X10"/>
    <mergeCell ref="B12:F12"/>
    <mergeCell ref="G12:J12"/>
    <mergeCell ref="K12:N12"/>
    <mergeCell ref="O12:R12"/>
    <mergeCell ref="S12:U12"/>
    <mergeCell ref="V12:X12"/>
    <mergeCell ref="B13:X13"/>
    <mergeCell ref="N26:O26"/>
    <mergeCell ref="P26:R26"/>
    <mergeCell ref="O19:P19"/>
    <mergeCell ref="O20:P20"/>
    <mergeCell ref="O21:P21"/>
    <mergeCell ref="N23:O24"/>
    <mergeCell ref="P23:R24"/>
    <mergeCell ref="N25:O25"/>
    <mergeCell ref="P25:R25"/>
    <mergeCell ref="H28:I28"/>
    <mergeCell ref="J28:K28"/>
    <mergeCell ref="H23:I24"/>
    <mergeCell ref="H25:I25"/>
    <mergeCell ref="J25:K25"/>
    <mergeCell ref="H26:I26"/>
    <mergeCell ref="J26:K26"/>
    <mergeCell ref="H27:I27"/>
    <mergeCell ref="J27:K27"/>
    <mergeCell ref="N31:O31"/>
    <mergeCell ref="P31:R31"/>
    <mergeCell ref="H29:I29"/>
    <mergeCell ref="H30:I30"/>
    <mergeCell ref="J30:K30"/>
    <mergeCell ref="N30:O30"/>
    <mergeCell ref="P30:R30"/>
    <mergeCell ref="H31:I31"/>
    <mergeCell ref="J31:K31"/>
    <mergeCell ref="H33:I33"/>
    <mergeCell ref="H34:I34"/>
    <mergeCell ref="J34:K34"/>
    <mergeCell ref="N34:O34"/>
    <mergeCell ref="P34:R34"/>
    <mergeCell ref="H32:I32"/>
    <mergeCell ref="J32:K32"/>
    <mergeCell ref="N32:O32"/>
    <mergeCell ref="P32:R32"/>
    <mergeCell ref="J33:K33"/>
    <mergeCell ref="N33:O33"/>
    <mergeCell ref="P33:R33"/>
    <mergeCell ref="H35:I35"/>
    <mergeCell ref="J35:K35"/>
    <mergeCell ref="N35:O35"/>
    <mergeCell ref="P35:R35"/>
    <mergeCell ref="B37:X37"/>
    <mergeCell ref="B38:X38"/>
    <mergeCell ref="B39:X39"/>
    <mergeCell ref="Q43:R43"/>
    <mergeCell ref="I44:X44"/>
    <mergeCell ref="B45:X45"/>
    <mergeCell ref="B47:X48"/>
    <mergeCell ref="G49:H49"/>
    <mergeCell ref="I49:X49"/>
    <mergeCell ref="B40:X40"/>
    <mergeCell ref="B41:X41"/>
    <mergeCell ref="G42:H42"/>
    <mergeCell ref="I42:J42"/>
    <mergeCell ref="K42:L42"/>
    <mergeCell ref="B43:H43"/>
    <mergeCell ref="L43:M43"/>
    <mergeCell ref="C14:D14"/>
    <mergeCell ref="E14:F14"/>
    <mergeCell ref="G14:L14"/>
    <mergeCell ref="M14:R14"/>
    <mergeCell ref="S14:X14"/>
    <mergeCell ref="C15:D15"/>
    <mergeCell ref="E15:F15"/>
    <mergeCell ref="S15:X15"/>
    <mergeCell ref="G15:L15"/>
    <mergeCell ref="M15:R15"/>
    <mergeCell ref="B16:M16"/>
    <mergeCell ref="N16:X16"/>
    <mergeCell ref="B17:M17"/>
    <mergeCell ref="N17:X17"/>
    <mergeCell ref="B18:X18"/>
    <mergeCell ref="Q20:S20"/>
    <mergeCell ref="T20:U20"/>
    <mergeCell ref="Q21:S21"/>
    <mergeCell ref="T21:U21"/>
    <mergeCell ref="V21:W21"/>
    <mergeCell ref="S23:X23"/>
    <mergeCell ref="S24:X35"/>
    <mergeCell ref="K20:M20"/>
    <mergeCell ref="B22:X22"/>
    <mergeCell ref="B19:C19"/>
    <mergeCell ref="K19:M19"/>
    <mergeCell ref="Q19:S19"/>
    <mergeCell ref="T19:U19"/>
    <mergeCell ref="V19:W19"/>
    <mergeCell ref="B20:C20"/>
    <mergeCell ref="V20:W20"/>
    <mergeCell ref="G19:I19"/>
    <mergeCell ref="G20:I20"/>
    <mergeCell ref="B21:C21"/>
    <mergeCell ref="G21:I21"/>
    <mergeCell ref="K21:M21"/>
    <mergeCell ref="J23:M23"/>
    <mergeCell ref="J24:K24"/>
    <mergeCell ref="N27:O27"/>
    <mergeCell ref="P27:R27"/>
    <mergeCell ref="N28:O28"/>
    <mergeCell ref="P28:R28"/>
    <mergeCell ref="J29:K29"/>
    <mergeCell ref="N29:O29"/>
    <mergeCell ref="P29:R29"/>
  </mergeCells>
  <printOptions/>
  <pageMargins bottom="0.0" footer="0.0" header="0.0" left="0.2362204724409449" right="0.2362204724409449" top="0.11811023622047245"/>
  <pageSetup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2022-12-20T19:59:22Z</dcterms:created>
  <dc:creator>Usuario</dc:creator>
</cp:coreProperties>
</file>