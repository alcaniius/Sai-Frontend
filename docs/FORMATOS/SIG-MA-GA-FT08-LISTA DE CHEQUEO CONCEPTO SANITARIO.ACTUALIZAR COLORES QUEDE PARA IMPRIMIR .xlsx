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YINA MONTERO\Desktop\GESTION AMBIENTAL GESTAR SALUD\GESTION AMBIENTAL GESTAR\2. GESTIÒN AMBIENTAL\FORMATO\"/>
    </mc:Choice>
  </mc:AlternateContent>
  <xr:revisionPtr revIDLastSave="0" documentId="13_ncr:1_{026A6CAC-B31A-4241-BE28-2543701D5E83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NCEPTO SANITARIO" sheetId="7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9" i="7" l="1"/>
  <c r="P60" i="7"/>
  <c r="J60" i="7" s="1"/>
  <c r="P61" i="7"/>
  <c r="P53" i="7"/>
  <c r="J53" i="7" s="1"/>
  <c r="P14" i="7"/>
  <c r="Q14" i="7"/>
  <c r="P15" i="7"/>
  <c r="Q15" i="7"/>
  <c r="P16" i="7"/>
  <c r="Q16" i="7"/>
  <c r="P17" i="7"/>
  <c r="Q17" i="7"/>
  <c r="P18" i="7"/>
  <c r="Q18" i="7"/>
  <c r="P19" i="7"/>
  <c r="Q19" i="7"/>
  <c r="P20" i="7"/>
  <c r="Q20" i="7"/>
  <c r="P21" i="7"/>
  <c r="Q21" i="7"/>
  <c r="P33" i="7"/>
  <c r="Q33" i="7"/>
  <c r="P34" i="7"/>
  <c r="Q34" i="7"/>
  <c r="P35" i="7"/>
  <c r="Q35" i="7"/>
  <c r="P36" i="7"/>
  <c r="Q36" i="7"/>
  <c r="P37" i="7"/>
  <c r="Q37" i="7"/>
  <c r="Q53" i="7"/>
  <c r="Q57" i="7"/>
  <c r="Q58" i="7"/>
  <c r="Q59" i="7"/>
  <c r="Q60" i="7"/>
  <c r="Q61" i="7"/>
  <c r="P69" i="7"/>
  <c r="Q69" i="7"/>
  <c r="P70" i="7"/>
  <c r="Q70" i="7"/>
  <c r="P71" i="7"/>
  <c r="Q71" i="7"/>
  <c r="P72" i="7"/>
  <c r="Q72" i="7"/>
  <c r="P73" i="7"/>
  <c r="Q73" i="7"/>
  <c r="Q68" i="7"/>
  <c r="P68" i="7"/>
  <c r="J68" i="7" s="1"/>
  <c r="P81" i="7"/>
  <c r="J81" i="7" s="1"/>
  <c r="Q81" i="7"/>
  <c r="Q82" i="7"/>
  <c r="P83" i="7"/>
  <c r="J83" i="7" s="1"/>
  <c r="Q83" i="7"/>
  <c r="P84" i="7"/>
  <c r="J84" i="7" s="1"/>
  <c r="Q84" i="7"/>
  <c r="Q80" i="7"/>
  <c r="P80" i="7"/>
  <c r="J80" i="7" s="1"/>
  <c r="P77" i="7"/>
  <c r="Q77" i="7"/>
  <c r="J59" i="7"/>
  <c r="J61" i="7"/>
  <c r="J77" i="7"/>
  <c r="P65" i="7" l="1"/>
  <c r="P64" i="7"/>
  <c r="P58" i="7"/>
  <c r="J58" i="7" s="1"/>
  <c r="P46" i="7"/>
  <c r="P44" i="7"/>
  <c r="P40" i="7"/>
  <c r="P32" i="7"/>
  <c r="P31" i="7"/>
  <c r="P30" i="7"/>
  <c r="P29" i="7"/>
  <c r="P28" i="7"/>
  <c r="P27" i="7"/>
  <c r="Q13" i="7" l="1"/>
  <c r="Q26" i="7"/>
  <c r="Q25" i="7"/>
  <c r="Q24" i="7"/>
  <c r="Q29" i="7"/>
  <c r="Q28" i="7"/>
  <c r="Q27" i="7"/>
  <c r="Q32" i="7"/>
  <c r="Q31" i="7"/>
  <c r="Q30" i="7"/>
  <c r="Q40" i="7"/>
  <c r="Q43" i="7"/>
  <c r="Q45" i="7"/>
  <c r="Q44" i="7"/>
  <c r="Q46" i="7"/>
  <c r="Q54" i="7"/>
  <c r="Q52" i="7"/>
  <c r="Q51" i="7"/>
  <c r="Q50" i="7"/>
  <c r="Q49" i="7"/>
  <c r="Q56" i="7"/>
  <c r="Q64" i="7"/>
  <c r="Q65" i="7"/>
  <c r="Q76" i="7"/>
  <c r="Q87" i="7" l="1"/>
  <c r="Q88" i="7" s="1"/>
  <c r="P82" i="7" s="1"/>
  <c r="J82" i="7" s="1"/>
  <c r="P25" i="7" l="1"/>
  <c r="J25" i="7" s="1"/>
  <c r="P26" i="7"/>
  <c r="J26" i="7" s="1"/>
  <c r="P24" i="7"/>
  <c r="J24" i="7" s="1"/>
  <c r="P13" i="7"/>
  <c r="J14" i="7"/>
  <c r="P57" i="7"/>
  <c r="J57" i="7" s="1"/>
  <c r="P54" i="7"/>
  <c r="J54" i="7" s="1"/>
  <c r="P56" i="7"/>
  <c r="P51" i="7"/>
  <c r="J51" i="7" s="1"/>
  <c r="P52" i="7"/>
  <c r="J52" i="7" s="1"/>
  <c r="P49" i="7"/>
  <c r="J49" i="7" s="1"/>
  <c r="P50" i="7"/>
  <c r="J50" i="7" s="1"/>
  <c r="P43" i="7"/>
  <c r="J43" i="7" s="1"/>
  <c r="P45" i="7"/>
  <c r="J45" i="7" s="1"/>
  <c r="P76" i="7"/>
  <c r="J76" i="7" s="1"/>
  <c r="J29" i="7"/>
  <c r="J44" i="7"/>
  <c r="J40" i="7"/>
  <c r="J31" i="7"/>
  <c r="J46" i="7"/>
  <c r="J30" i="7"/>
  <c r="J65" i="7"/>
  <c r="J64" i="7"/>
  <c r="J32" i="7"/>
  <c r="J28" i="7"/>
  <c r="J27" i="7"/>
  <c r="J13" i="7" l="1"/>
  <c r="I91" i="7"/>
</calcChain>
</file>

<file path=xl/sharedStrings.xml><?xml version="1.0" encoding="utf-8"?>
<sst xmlns="http://schemas.openxmlformats.org/spreadsheetml/2006/main" count="148" uniqueCount="92">
  <si>
    <t xml:space="preserve">Criterio </t>
  </si>
  <si>
    <t>Puntaje</t>
  </si>
  <si>
    <t xml:space="preserve">Observaciones </t>
  </si>
  <si>
    <t xml:space="preserve">No Aplica </t>
  </si>
  <si>
    <t xml:space="preserve">No cumple </t>
  </si>
  <si>
    <t>Cumple</t>
  </si>
  <si>
    <t>TABLA DE PUNTAJE</t>
  </si>
  <si>
    <t>%</t>
  </si>
  <si>
    <t>Cuenta con los siguientes ambientes, áreas o espacios y características exclusivos, delimitados y señalizados:</t>
  </si>
  <si>
    <t>C</t>
  </si>
  <si>
    <t>D</t>
  </si>
  <si>
    <t>REPRESENTANTE IPS</t>
  </si>
  <si>
    <t>CARGO REPRESENTANTE IPS</t>
  </si>
  <si>
    <t>SECCIONAL</t>
  </si>
  <si>
    <t>FECHA DE VISITA</t>
  </si>
  <si>
    <t>IPS AUDITADA</t>
  </si>
  <si>
    <t>Calificación final de la auditoría:</t>
  </si>
  <si>
    <t xml:space="preserve">FIRMA:  </t>
  </si>
  <si>
    <t xml:space="preserve">FIRMA:        </t>
  </si>
  <si>
    <t>CC:</t>
  </si>
  <si>
    <t>NOMBRE:</t>
  </si>
  <si>
    <t xml:space="preserve">NOMBRE: </t>
  </si>
  <si>
    <t>El valor de cada ítem se calcula dividiendo 100 entre el número de ítems que aplicaron a la evaluación, y luego se suman los resultados.</t>
  </si>
  <si>
    <r>
      <rPr>
        <b/>
        <sz val="10"/>
        <color theme="1"/>
        <rFont val="Arial"/>
        <family val="2"/>
      </rPr>
      <t>CUMPLE:</t>
    </r>
    <r>
      <rPr>
        <sz val="10"/>
        <color theme="1"/>
        <rFont val="Arial"/>
        <family val="2"/>
      </rPr>
      <t xml:space="preserve"> Entre 95% y 100%.</t>
    </r>
  </si>
  <si>
    <r>
      <rPr>
        <b/>
        <sz val="10"/>
        <color theme="1"/>
        <rFont val="Arial"/>
        <family val="2"/>
      </rPr>
      <t>CUMPLE CON PLAN DE MEJORAMIENTO:</t>
    </r>
    <r>
      <rPr>
        <sz val="10"/>
        <color theme="1"/>
        <rFont val="Arial"/>
        <family val="2"/>
      </rPr>
      <t xml:space="preserve"> Entre 80 y 94%. </t>
    </r>
  </si>
  <si>
    <r>
      <rPr>
        <b/>
        <sz val="10"/>
        <color theme="1"/>
        <rFont val="Arial"/>
        <family val="2"/>
      </rPr>
      <t>NO CUMPLE:</t>
    </r>
    <r>
      <rPr>
        <sz val="10"/>
        <color theme="1"/>
        <rFont val="Arial"/>
        <family val="2"/>
      </rPr>
      <t xml:space="preserve"> Menor de 79%. </t>
    </r>
  </si>
  <si>
    <t>REVISIÓN DOCUMENTAL</t>
  </si>
  <si>
    <t>Documento de sistema de seguridad y saqlud en el trabajo ( en caso de no contat notificar a dirección territorial ministerio de trabajo)</t>
  </si>
  <si>
    <t>plan de capacitación prácticas higiénicas, bioseguridad, uso de EPP</t>
  </si>
  <si>
    <t>permiso de uso del suelo ( en caso de no contar notificar a la autoridad competente)</t>
  </si>
  <si>
    <t xml:space="preserve">contrato con gestor de residuos peligrosos </t>
  </si>
  <si>
    <t>si se requiere de medidas de control, la empresa contratada para ejecutar el programa de control de plagas  cuenta con concepto sanitario favorable expedido por la autoridad sanitaria del área de jurisdicción</t>
  </si>
  <si>
    <t>licencia para equipos de diagnóstico de rayos x</t>
  </si>
  <si>
    <t>en caso de que el servicio de lavandería sea tercerizado presentar contrato, concepto sanitario de la empresa con que se tiene contratado el servicio</t>
  </si>
  <si>
    <t>soportes de vacunación del personal que gestiona y manipula los residuos</t>
  </si>
  <si>
    <t>hojas de seguridad de las sustancias química empleadas. Listado de inventario de insumos químicos para las actividades de limpieza y desinfección, manetenimienyo que son empleados en el centro de salud ( estado, cantidad almacenada)</t>
  </si>
  <si>
    <t>El establecimiento está ubicado en terreno de fácila drenaje, alejado de botaderos de basura, aguas estancadas, criaderos de insectos y roedopres, plantas de benficio, cementerios y, en general a focos de insalubridad e inseguridad evitar en las zonas de riesgo que frezcan peligro de inundación, erosión</t>
  </si>
  <si>
    <t>el establecimiento se localiza de acuerod con los usos de suelo existentes del municipio de ubicación.</t>
  </si>
  <si>
    <t>El establecimiento cuenta con sistema de comunicación y energía eléctrica</t>
  </si>
  <si>
    <t>CONDICIONES LOCATIVAS Y ÁREAS</t>
  </si>
  <si>
    <t>En las instituciones que prestan servicios de hospitalización y en las ambulancias con servicio de urgencias, las ambulancias cuentan con fácil acceso y parqueo señalizado exclusivo, contiguo a la entrada del servicio de urgencias</t>
  </si>
  <si>
    <t>En las instituciones que prestan servicios de hospitalización, as fachadas exteriore son accesibles a los bomberos, las zonas perimetrales exteriores, están libres de obstáculos para permitir la fácil circulación de las máquinas de bomberos.</t>
  </si>
  <si>
    <t>Las estradas y salidas, internas y externas están localizadas con el menor número de barreras u obstáculos según diseño arquitectónico.</t>
  </si>
  <si>
    <t>Las escaleras, rampas y ascensores cumple con las disposiciones del marco normativo /cinta antideslizante, franja foto luminíca y pasamanos</t>
  </si>
  <si>
    <t>Los corredores internos se cumple con las disposiciones establecidas en el art 46 resolución 14681</t>
  </si>
  <si>
    <t>La señalización de las áreas, espacios definidos en el establecimiento cumplen con las disposiciones de colores indicativos de acuerdo a los servicios prestados y habilitados</t>
  </si>
  <si>
    <t>los pisos son sólidos, impermeables, antideslizantes, de fácil limpieza y resistentes a factores ambientales y uniformes, de manera que ofrezcan continuidad para evitar tropiezo y accidentes, noivelados para facilitar el drenaje.</t>
  </si>
  <si>
    <t>Los cielo rasos, techos y paredes o muros son sólidos, impermeables, resistentes a factores ambientales como humedad y temperatura, e incombustibles, lisos de material lavable para facilitar la limpieza</t>
  </si>
  <si>
    <t>Las redes e instalaciones eléctricas como interruptores reguladores, lámparas y demás equipos o accionadas, señalizadas y protegidas, de manera que se prevengan los riesgos de incendio y se evite el contacto  con los elementos sometidos  a la tensión</t>
  </si>
  <si>
    <t>La iluminación natural y artificial es suficiente adecuada en cantidad para su uso</t>
  </si>
  <si>
    <t>CONDICIONES DEL ÁREA DE MORGUE HOSPITALARIA</t>
  </si>
  <si>
    <t>La morgue del establecimiento cumple con los siguientes requisitos, privacidad, iluminación suficiente, agua potable, ventilación, mesa para autopsias, energía eléctrica.</t>
  </si>
  <si>
    <t>CONDICIONES DEL ÁREA DE LAVANDERÍA HOSPITALARIA</t>
  </si>
  <si>
    <t>La lavanderia del establecimiento dispone de los siguientes espacios de recepción, pesaje, clasificación, lavado, secado, planchado, almacenamiento, costura, distribución, unidad sanitaria con ducha por sexo por cada 15 personas</t>
  </si>
  <si>
    <t>Cumple con las disposiciones realizadas en relación con los aislamientos de las áreas</t>
  </si>
  <si>
    <t>Dispone de un área para el almacenamiento de los insumos utilizados en el proceso y elementos de aseo</t>
  </si>
  <si>
    <t>los elementos y productos químicos utilizados para la limpieza y desinfección se encuentran debidamente rotulados y almacenados.</t>
  </si>
  <si>
    <t>CONDICIONES SANITARIAS</t>
  </si>
  <si>
    <t>El establecimiento cuenta con servicios sanitarios dotados con los mecanismos o elementos para la higiene personal, separados por sexo, en correcto funcionamiento y en cantidad suficientes para uso de los trabajadores ( inodoros- y lavamanos)</t>
  </si>
  <si>
    <t>El establecimiento cuenta con servicios sanitarios dotados con los mecanismos o elementos para la higiene personal, separados por sexo, en correcto funcionamiento y en cantidad suficientes para uso de los visitantes ( inodoros- y lavamanos)</t>
  </si>
  <si>
    <t>el establecimiento cuenta con servicios sanitarios para la población discapacitada cumpliendo con las disposiciones del legal</t>
  </si>
  <si>
    <t>el estableciemitno se mantiene en orden, aseo y cuenta con un programa de limpieza y desinfección para las instalaciones y equipos documentados e implementado ( procedimientos, planillas, concentraciones y registros)</t>
  </si>
  <si>
    <t>Disponer de cuartos independientes con poceta o unidades para lavado de implementos de aseo y espacio suficiente para colocación de escobas, traperos, jabones, detergentes y otros implementos usados con el mismo propósito.</t>
  </si>
  <si>
    <t>CONDICIONES DE SANEAMIENTO: ABASTECIMIENTO DE AGUA</t>
  </si>
  <si>
    <t>El establecimiento se encuentra conectado a la red del sistema de acueducto.</t>
  </si>
  <si>
    <t>el establecimiento cuenta con suministro de agua potable</t>
  </si>
  <si>
    <t>las instlaciones interiores para suministro están diseñadas y construidas para su funcionamiento normal, con dotación se servicio continuo y presión suficiente de servicios en todos los sitios de consumo</t>
  </si>
  <si>
    <t>El establecimiento cuenta con tanques para almacenamiento de agua potable debidamente protegidos y con capacidad suficiente para garantizar el suministro en la totalidad de sus instalaciones</t>
  </si>
  <si>
    <t>El establecimiento realiza semestralmente o cuando este visiblemente sucio, el lavado y desinfección de los tanques de almacenamiento de afua potable</t>
  </si>
  <si>
    <t>CONDICIONES DE SANEAMIENTO: MANEJO Y DISPOSICIÓN DE VERTIMIENTOS</t>
  </si>
  <si>
    <t>Las aguas residuales generadas por el establecimiento son conectadas a sistema alcantarillado u otro sistema alternativo</t>
  </si>
  <si>
    <t>CONDICIONES DE SANEAMIENTO: MANEJO DE RESIDUOS SÓLIDOS</t>
  </si>
  <si>
    <t>Cuenta con plan de gestión integral de residuos en la atención y otras actividades documentado e implementado.</t>
  </si>
  <si>
    <t>El a´rea para el almacenamiento de residuos cumple con las disposiciones establecidas por normatividad</t>
  </si>
  <si>
    <t>Cuenta con un ambiente adecuado para lavado, limpieza y desinfección de los recipientres donde se almacenen los residuos</t>
  </si>
  <si>
    <t>Los residuso son removidos con la frecuencia necesaria para eviatar generación de olores, presencia de insectos y roedores, entre otros.</t>
  </si>
  <si>
    <t>Cuenta con recipiente de material rigido que facilita su limpieza y desinfección e identificados para el manejo de residuos y da cumplimiento al código de colores.</t>
  </si>
  <si>
    <t>Después de desocupados los reci´pientes se lavan y desinfectan utilizando las disoluciones de sustancias químicas correspondientes a la tarea a reaizar.</t>
  </si>
  <si>
    <t>CONDICIONES DE SANEAMIENTO: MANEJO INTEGRADO DE PLAGAS</t>
  </si>
  <si>
    <t>PREVENCIÓN DE EMERGENCIAS Y DESASTRES, GESTIÓN DEL RIESGO</t>
  </si>
  <si>
    <t>Existe un programa de manejo integral de plagas documentados e implementados. Lineamiento manual para el control integral roedores plaga</t>
  </si>
  <si>
    <t>en el establecimiento no se evidencia la presencia de plagas o daños ocasionados por éstas y se establecen medidas preventivas para e control y propagación</t>
  </si>
  <si>
    <t>existe plan de gestión del riesgo de desastres documentados e implementados</t>
  </si>
  <si>
    <t>el establecimiento cuenta con sistemas para la contención de derrames en espacial el área asistencial</t>
  </si>
  <si>
    <t>Todas las maquinarias,equipos no médicos y herramientas se encuentran instalados, mantenidos y operados con el fin de disminuir accidentes y enfermedades.</t>
  </si>
  <si>
    <t>el establecimiento cuenta con extintores o gabinetes contra incendios cargados y debidamente señalizados en perfecto estado de funcionamiento.</t>
  </si>
  <si>
    <t>existe botiquín de primeros auxilios</t>
  </si>
  <si>
    <t xml:space="preserve">AUDITOR </t>
  </si>
  <si>
    <t>AUDITOR</t>
  </si>
  <si>
    <t xml:space="preserve">AUDITOR CALIDAD </t>
  </si>
  <si>
    <t>Se garantiza la ventilación natura y /o artificial, con e objeto de evitar la acumulación de olores, condensación de vaores y elevación excesiva de la temperatura.</t>
  </si>
  <si>
    <t>Las instalaciones para evacuación de residuos líquidos están diseñadas y construidas para que permitan escurrimiento, eviten obstrucciones, impida el paso de gases y animales de la red pública al interiro, no permitan el vaciamiento, el escape de líquido o la formación de depósitos en el interior de las tubería y finalmente, se evite la conexión o interconexión con tanques de almacenamiento y sistemas de agua potable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</si>
</sst>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3E6E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5" fillId="0" borderId="0" xfId="0" applyFont="1"/>
    <xf numFmtId="0" fontId="2" fillId="0" borderId="15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5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0" borderId="15" xfId="0" applyFont="1" applyBorder="1" applyAlignment="1">
      <alignment horizontal="justify" vertical="top" wrapText="1"/>
    </xf>
    <xf numFmtId="0" fontId="6" fillId="0" borderId="7" xfId="0" applyFont="1" applyBorder="1" applyAlignment="1">
      <alignment horizontal="justify" vertical="top" wrapText="1"/>
    </xf>
    <xf numFmtId="0" fontId="6" fillId="0" borderId="3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15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3" fillId="5" borderId="15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0" fontId="3" fillId="5" borderId="16" xfId="0" applyFont="1" applyFill="1" applyBorder="1" applyAlignment="1">
      <alignment horizontal="left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left" vertical="top"/>
    </xf>
    <xf numFmtId="0" fontId="2" fillId="0" borderId="24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2" fillId="0" borderId="25" xfId="0" applyFont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21" xfId="0" applyFont="1" applyBorder="1" applyAlignment="1">
      <alignment horizontal="left" vertical="top"/>
    </xf>
    <xf numFmtId="0" fontId="2" fillId="0" borderId="22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26" xfId="0" applyFont="1" applyBorder="1" applyAlignment="1">
      <alignment horizontal="left" vertical="top"/>
    </xf>
    <xf numFmtId="0" fontId="2" fillId="0" borderId="27" xfId="0" applyFont="1" applyBorder="1" applyAlignment="1">
      <alignment horizontal="left" vertical="top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2" fillId="0" borderId="23" xfId="0" applyFont="1" applyBorder="1" applyAlignment="1">
      <alignment horizontal="center" vertical="top"/>
    </xf>
    <xf numFmtId="0" fontId="2" fillId="0" borderId="24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25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4" fillId="4" borderId="8" xfId="0" applyFont="1" applyFill="1" applyBorder="1" applyAlignment="1">
      <alignment horizontal="center" vertical="top"/>
    </xf>
    <xf numFmtId="0" fontId="4" fillId="4" borderId="9" xfId="0" applyFont="1" applyFill="1" applyBorder="1" applyAlignment="1">
      <alignment horizontal="center" vertical="top"/>
    </xf>
    <xf numFmtId="0" fontId="4" fillId="4" borderId="20" xfId="0" applyFont="1" applyFill="1" applyBorder="1" applyAlignment="1">
      <alignment horizontal="center" vertical="top"/>
    </xf>
    <xf numFmtId="0" fontId="4" fillId="4" borderId="8" xfId="0" applyFont="1" applyFill="1" applyBorder="1" applyAlignment="1">
      <alignment horizontal="center" vertical="top" wrapText="1"/>
    </xf>
    <xf numFmtId="0" fontId="4" fillId="4" borderId="20" xfId="0" applyFont="1" applyFill="1" applyBorder="1" applyAlignment="1">
      <alignment horizontal="center" vertical="top" wrapText="1"/>
    </xf>
    <xf numFmtId="0" fontId="4" fillId="4" borderId="9" xfId="0" applyFont="1" applyFill="1" applyBorder="1" applyAlignment="1">
      <alignment horizontal="center" vertical="top" wrapText="1"/>
    </xf>
    <xf numFmtId="0" fontId="4" fillId="4" borderId="15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4" borderId="15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justify" vertical="top" wrapText="1"/>
    </xf>
    <xf numFmtId="0" fontId="2" fillId="2" borderId="7" xfId="0" applyFont="1" applyFill="1" applyBorder="1" applyAlignment="1">
      <alignment horizontal="justify" vertical="top" wrapText="1"/>
    </xf>
    <xf numFmtId="0" fontId="2" fillId="2" borderId="3" xfId="0" applyFont="1" applyFill="1" applyBorder="1" applyAlignment="1">
      <alignment horizontal="justify" vertical="top" wrapText="1"/>
    </xf>
    <xf numFmtId="0" fontId="3" fillId="0" borderId="23" xfId="0" applyFont="1" applyBorder="1" applyAlignment="1">
      <alignment horizontal="left"/>
    </xf>
    <xf numFmtId="0" fontId="3" fillId="0" borderId="25" xfId="0" applyFont="1" applyBorder="1" applyAlignment="1">
      <alignment horizontal="left"/>
    </xf>
    <xf numFmtId="0" fontId="3" fillId="0" borderId="24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6" fillId="2" borderId="15" xfId="0" applyFont="1" applyFill="1" applyBorder="1" applyAlignment="1">
      <alignment horizontal="justify" vertical="center" wrapText="1"/>
    </xf>
    <xf numFmtId="0" fontId="6" fillId="2" borderId="7" xfId="0" applyFont="1" applyFill="1" applyBorder="1" applyAlignment="1">
      <alignment horizontal="justify" vertical="center" wrapText="1"/>
    </xf>
    <xf numFmtId="0" fontId="6" fillId="2" borderId="3" xfId="0" applyFont="1" applyFill="1" applyBorder="1" applyAlignment="1">
      <alignment horizontal="justify" vertical="center" wrapText="1"/>
    </xf>
    <xf numFmtId="0" fontId="2" fillId="0" borderId="28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4" fillId="5" borderId="10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4" fillId="5" borderId="8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5" xfId="0" applyFont="1" applyBorder="1" applyAlignment="1">
      <alignment horizontal="justify" vertical="top" wrapText="1"/>
    </xf>
    <xf numFmtId="0" fontId="2" fillId="0" borderId="7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3E6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9</xdr:col>
      <xdr:colOff>653142</xdr:colOff>
      <xdr:row>2</xdr:row>
      <xdr:rowOff>342762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86" y="0"/>
          <a:ext cx="7021285" cy="11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7"/>
  <sheetViews>
    <sheetView showGridLines="0" tabSelected="1" view="pageLayout" topLeftCell="A90" zoomScale="130" zoomScaleNormal="70" zoomScalePageLayoutView="130" workbookViewId="0">
      <selection activeCell="A81" sqref="A81:C81"/>
    </sheetView>
  </sheetViews>
  <sheetFormatPr baseColWidth="10" defaultRowHeight="15" customHeight="1" x14ac:dyDescent="0.25"/>
  <cols>
    <col min="1" max="1" width="19.7109375" customWidth="1"/>
    <col min="2" max="2" width="16.140625" customWidth="1"/>
    <col min="3" max="3" width="16.7109375" customWidth="1"/>
    <col min="4" max="6" width="7.7109375" style="3" customWidth="1"/>
    <col min="7" max="7" width="10.42578125" customWidth="1"/>
    <col min="8" max="8" width="0.7109375" customWidth="1"/>
    <col min="9" max="9" width="10.7109375" customWidth="1"/>
    <col min="10" max="10" width="11.42578125" customWidth="1"/>
    <col min="11" max="13" width="12.42578125" customWidth="1"/>
    <col min="14" max="14" width="12.42578125" hidden="1" customWidth="1"/>
    <col min="15" max="15" width="11" hidden="1" customWidth="1"/>
    <col min="16" max="18" width="12.42578125" hidden="1" customWidth="1"/>
  </cols>
  <sheetData>
    <row r="1" spans="1:17" ht="30" customHeight="1" x14ac:dyDescent="0.25">
      <c r="A1" s="44"/>
      <c r="B1" s="45"/>
      <c r="C1" s="45"/>
      <c r="D1" s="45"/>
      <c r="E1" s="45"/>
      <c r="F1" s="45"/>
      <c r="G1" s="45"/>
      <c r="H1" s="45"/>
      <c r="I1" s="45"/>
      <c r="J1" s="46"/>
    </row>
    <row r="2" spans="1:17" ht="30" customHeight="1" x14ac:dyDescent="0.25">
      <c r="A2" s="47"/>
      <c r="B2" s="48"/>
      <c r="C2" s="48"/>
      <c r="D2" s="48"/>
      <c r="E2" s="48"/>
      <c r="F2" s="48"/>
      <c r="G2" s="48"/>
      <c r="H2" s="48"/>
      <c r="I2" s="48"/>
      <c r="J2" s="49"/>
    </row>
    <row r="3" spans="1:17" ht="30" customHeight="1" thickBot="1" x14ac:dyDescent="0.3">
      <c r="A3" s="50"/>
      <c r="B3" s="51"/>
      <c r="C3" s="51"/>
      <c r="D3" s="51"/>
      <c r="E3" s="51"/>
      <c r="F3" s="51"/>
      <c r="G3" s="51"/>
      <c r="H3" s="51"/>
      <c r="I3" s="51"/>
      <c r="J3" s="52"/>
    </row>
    <row r="4" spans="1:17" ht="12.75" customHeight="1" thickBot="1" x14ac:dyDescent="0.3">
      <c r="A4" s="69" t="s">
        <v>15</v>
      </c>
      <c r="B4" s="70"/>
      <c r="C4" s="69" t="s">
        <v>14</v>
      </c>
      <c r="D4" s="71"/>
      <c r="E4" s="71"/>
      <c r="F4" s="71"/>
      <c r="G4" s="70"/>
      <c r="H4" s="69" t="s">
        <v>13</v>
      </c>
      <c r="I4" s="71"/>
      <c r="J4" s="70"/>
    </row>
    <row r="5" spans="1:17" ht="14.25" customHeight="1" x14ac:dyDescent="0.25">
      <c r="A5" s="57"/>
      <c r="B5" s="58"/>
      <c r="C5" s="57"/>
      <c r="D5" s="61"/>
      <c r="E5" s="61"/>
      <c r="F5" s="61"/>
      <c r="G5" s="58"/>
      <c r="H5" s="63"/>
      <c r="I5" s="64"/>
      <c r="J5" s="65"/>
    </row>
    <row r="6" spans="1:17" ht="14.25" customHeight="1" thickBot="1" x14ac:dyDescent="0.3">
      <c r="A6" s="59"/>
      <c r="B6" s="60"/>
      <c r="C6" s="59"/>
      <c r="D6" s="62"/>
      <c r="E6" s="62"/>
      <c r="F6" s="62"/>
      <c r="G6" s="60"/>
      <c r="H6" s="66"/>
      <c r="I6" s="67"/>
      <c r="J6" s="68"/>
    </row>
    <row r="7" spans="1:17" ht="44.25" customHeight="1" thickBot="1" x14ac:dyDescent="0.3">
      <c r="A7" s="78" t="s">
        <v>89</v>
      </c>
      <c r="B7" s="79"/>
      <c r="C7" s="78" t="s">
        <v>11</v>
      </c>
      <c r="D7" s="80"/>
      <c r="E7" s="80"/>
      <c r="F7" s="80"/>
      <c r="G7" s="79"/>
      <c r="H7" s="81" t="s">
        <v>12</v>
      </c>
      <c r="I7" s="82"/>
      <c r="J7" s="83"/>
    </row>
    <row r="8" spans="1:17" ht="14.25" customHeight="1" x14ac:dyDescent="0.25">
      <c r="A8" s="72"/>
      <c r="B8" s="73"/>
      <c r="C8" s="72"/>
      <c r="D8" s="76"/>
      <c r="E8" s="76"/>
      <c r="F8" s="76"/>
      <c r="G8" s="73"/>
      <c r="H8" s="72"/>
      <c r="I8" s="76"/>
      <c r="J8" s="73"/>
    </row>
    <row r="9" spans="1:17" ht="13.5" customHeight="1" thickBot="1" x14ac:dyDescent="0.3">
      <c r="A9" s="74"/>
      <c r="B9" s="75"/>
      <c r="C9" s="74"/>
      <c r="D9" s="77"/>
      <c r="E9" s="77"/>
      <c r="F9" s="77"/>
      <c r="G9" s="75"/>
      <c r="H9" s="74"/>
      <c r="I9" s="77"/>
      <c r="J9" s="75"/>
    </row>
    <row r="10" spans="1:17" ht="15" customHeight="1" x14ac:dyDescent="0.25">
      <c r="A10" s="84" t="s">
        <v>26</v>
      </c>
      <c r="B10" s="85"/>
      <c r="C10" s="85"/>
      <c r="D10" s="85"/>
      <c r="E10" s="85"/>
      <c r="F10" s="85"/>
      <c r="G10" s="85"/>
      <c r="H10" s="85"/>
      <c r="I10" s="85"/>
      <c r="J10" s="86"/>
    </row>
    <row r="11" spans="1:17" ht="23.25" customHeight="1" x14ac:dyDescent="0.25">
      <c r="A11" s="53" t="s">
        <v>0</v>
      </c>
      <c r="B11" s="54"/>
      <c r="C11" s="55"/>
      <c r="D11" s="21" t="s">
        <v>5</v>
      </c>
      <c r="E11" s="21" t="s">
        <v>4</v>
      </c>
      <c r="F11" s="21" t="s">
        <v>3</v>
      </c>
      <c r="G11" s="56" t="s">
        <v>2</v>
      </c>
      <c r="H11" s="56"/>
      <c r="I11" s="56"/>
      <c r="J11" s="22" t="s">
        <v>1</v>
      </c>
      <c r="K11" s="2"/>
      <c r="L11" s="2"/>
      <c r="M11" s="2"/>
      <c r="N11" s="2"/>
      <c r="O11" s="2"/>
      <c r="P11" s="2"/>
    </row>
    <row r="12" spans="1:17" ht="23.25" customHeight="1" x14ac:dyDescent="0.25">
      <c r="A12" s="38" t="s">
        <v>8</v>
      </c>
      <c r="B12" s="39"/>
      <c r="C12" s="39"/>
      <c r="D12" s="39"/>
      <c r="E12" s="39"/>
      <c r="F12" s="39"/>
      <c r="G12" s="39"/>
      <c r="H12" s="39"/>
      <c r="I12" s="39"/>
      <c r="J12" s="40"/>
      <c r="K12" s="2"/>
      <c r="L12" s="2"/>
      <c r="M12" s="2"/>
      <c r="N12" s="2"/>
      <c r="O12" s="2"/>
      <c r="P12" s="2"/>
    </row>
    <row r="13" spans="1:17" ht="37.5" customHeight="1" x14ac:dyDescent="0.25">
      <c r="A13" s="29" t="s">
        <v>27</v>
      </c>
      <c r="B13" s="30"/>
      <c r="C13" s="31"/>
      <c r="D13" s="7"/>
      <c r="E13" s="7"/>
      <c r="F13" s="7"/>
      <c r="G13" s="32"/>
      <c r="H13" s="33"/>
      <c r="I13" s="34"/>
      <c r="J13" s="8" t="str">
        <f t="shared" ref="J13:J14" si="0">P13</f>
        <v xml:space="preserve"> </v>
      </c>
      <c r="K13" s="2"/>
      <c r="L13" s="2"/>
      <c r="M13" s="2"/>
      <c r="N13" s="2"/>
      <c r="O13" s="2"/>
      <c r="P13" s="5" t="str">
        <f>IF(D13="x",$Q$88,IF(E13="x","0",IF(F13="x","0"," ")))</f>
        <v xml:space="preserve"> </v>
      </c>
      <c r="Q13" s="4">
        <f>IF(D13="x","1",IF(E13="x","1","0"))*1</f>
        <v>0</v>
      </c>
    </row>
    <row r="14" spans="1:17" ht="16.5" customHeight="1" x14ac:dyDescent="0.25">
      <c r="A14" s="35" t="s">
        <v>28</v>
      </c>
      <c r="B14" s="36"/>
      <c r="C14" s="37"/>
      <c r="D14" s="7"/>
      <c r="E14" s="7"/>
      <c r="F14" s="7"/>
      <c r="G14" s="32"/>
      <c r="H14" s="33"/>
      <c r="I14" s="34"/>
      <c r="J14" s="8" t="str">
        <f t="shared" si="0"/>
        <v xml:space="preserve"> </v>
      </c>
      <c r="K14" s="2"/>
      <c r="L14" s="2"/>
      <c r="M14" s="2"/>
      <c r="N14" s="2"/>
      <c r="O14" s="2"/>
      <c r="P14" s="5" t="str">
        <f t="shared" ref="P14:P21" si="1">IF(D14="x",$Q$88,IF(E14="x","0",IF(F14="x","0"," ")))</f>
        <v xml:space="preserve"> </v>
      </c>
      <c r="Q14" s="4">
        <f t="shared" ref="Q14:Q21" si="2">IF(D14="x","1",IF(E14="x","1","0"))*1</f>
        <v>0</v>
      </c>
    </row>
    <row r="15" spans="1:17" ht="22.5" customHeight="1" x14ac:dyDescent="0.25">
      <c r="A15" s="41" t="s">
        <v>29</v>
      </c>
      <c r="B15" s="42"/>
      <c r="C15" s="43"/>
      <c r="D15" s="7"/>
      <c r="E15" s="7"/>
      <c r="F15" s="7"/>
      <c r="G15" s="18"/>
      <c r="H15" s="19"/>
      <c r="I15" s="20"/>
      <c r="J15" s="8"/>
      <c r="K15" s="2"/>
      <c r="L15" s="2"/>
      <c r="M15" s="2"/>
      <c r="N15" s="2"/>
      <c r="O15" s="2"/>
      <c r="P15" s="5" t="str">
        <f t="shared" si="1"/>
        <v xml:space="preserve"> </v>
      </c>
      <c r="Q15" s="4">
        <f t="shared" si="2"/>
        <v>0</v>
      </c>
    </row>
    <row r="16" spans="1:17" ht="27.75" customHeight="1" x14ac:dyDescent="0.25">
      <c r="A16" s="41" t="s">
        <v>30</v>
      </c>
      <c r="B16" s="42"/>
      <c r="C16" s="43"/>
      <c r="D16" s="7"/>
      <c r="E16" s="7"/>
      <c r="F16" s="7"/>
      <c r="G16" s="18"/>
      <c r="H16" s="19"/>
      <c r="I16" s="20"/>
      <c r="J16" s="8"/>
      <c r="K16" s="2"/>
      <c r="L16" s="2"/>
      <c r="M16" s="2"/>
      <c r="N16" s="2"/>
      <c r="O16" s="2"/>
      <c r="P16" s="5" t="str">
        <f t="shared" si="1"/>
        <v xml:space="preserve"> </v>
      </c>
      <c r="Q16" s="4">
        <f t="shared" si="2"/>
        <v>0</v>
      </c>
    </row>
    <row r="17" spans="1:17" ht="22.5" customHeight="1" x14ac:dyDescent="0.25">
      <c r="A17" s="41" t="s">
        <v>31</v>
      </c>
      <c r="B17" s="42"/>
      <c r="C17" s="43"/>
      <c r="D17" s="7"/>
      <c r="E17" s="7"/>
      <c r="F17" s="7"/>
      <c r="G17" s="18"/>
      <c r="H17" s="19"/>
      <c r="I17" s="20"/>
      <c r="J17" s="8"/>
      <c r="K17" s="2"/>
      <c r="L17" s="2"/>
      <c r="M17" s="2"/>
      <c r="N17" s="2"/>
      <c r="O17" s="2"/>
      <c r="P17" s="5" t="str">
        <f t="shared" si="1"/>
        <v xml:space="preserve"> </v>
      </c>
      <c r="Q17" s="4">
        <f t="shared" si="2"/>
        <v>0</v>
      </c>
    </row>
    <row r="18" spans="1:17" ht="20.25" customHeight="1" x14ac:dyDescent="0.25">
      <c r="A18" s="41" t="s">
        <v>32</v>
      </c>
      <c r="B18" s="42"/>
      <c r="C18" s="43"/>
      <c r="D18" s="7"/>
      <c r="E18" s="7"/>
      <c r="F18" s="7"/>
      <c r="G18" s="18"/>
      <c r="H18" s="19"/>
      <c r="I18" s="20"/>
      <c r="J18" s="8"/>
      <c r="K18" s="2"/>
      <c r="L18" s="2"/>
      <c r="M18" s="2"/>
      <c r="N18" s="2"/>
      <c r="O18" s="2"/>
      <c r="P18" s="5" t="str">
        <f t="shared" si="1"/>
        <v xml:space="preserve"> </v>
      </c>
      <c r="Q18" s="4">
        <f t="shared" si="2"/>
        <v>0</v>
      </c>
    </row>
    <row r="19" spans="1:17" ht="26.25" customHeight="1" x14ac:dyDescent="0.25">
      <c r="A19" s="41" t="s">
        <v>33</v>
      </c>
      <c r="B19" s="42"/>
      <c r="C19" s="43"/>
      <c r="D19" s="7"/>
      <c r="E19" s="7"/>
      <c r="F19" s="7"/>
      <c r="G19" s="18"/>
      <c r="H19" s="19"/>
      <c r="I19" s="20"/>
      <c r="J19" s="8"/>
      <c r="K19" s="2"/>
      <c r="L19" s="2"/>
      <c r="M19" s="2"/>
      <c r="N19" s="2"/>
      <c r="O19" s="2"/>
      <c r="P19" s="5" t="str">
        <f t="shared" si="1"/>
        <v xml:space="preserve"> </v>
      </c>
      <c r="Q19" s="4">
        <f t="shared" si="2"/>
        <v>0</v>
      </c>
    </row>
    <row r="20" spans="1:17" ht="24" customHeight="1" x14ac:dyDescent="0.25">
      <c r="A20" s="41" t="s">
        <v>34</v>
      </c>
      <c r="B20" s="42"/>
      <c r="C20" s="43"/>
      <c r="D20" s="7"/>
      <c r="E20" s="7"/>
      <c r="F20" s="7"/>
      <c r="G20" s="18"/>
      <c r="H20" s="19"/>
      <c r="I20" s="20"/>
      <c r="J20" s="8"/>
      <c r="K20" s="2"/>
      <c r="L20" s="2"/>
      <c r="M20" s="2"/>
      <c r="N20" s="2"/>
      <c r="O20" s="2"/>
      <c r="P20" s="5" t="str">
        <f t="shared" si="1"/>
        <v xml:space="preserve"> </v>
      </c>
      <c r="Q20" s="4">
        <f t="shared" si="2"/>
        <v>0</v>
      </c>
    </row>
    <row r="21" spans="1:17" ht="51.75" customHeight="1" x14ac:dyDescent="0.25">
      <c r="A21" s="41" t="s">
        <v>35</v>
      </c>
      <c r="B21" s="42"/>
      <c r="C21" s="43"/>
      <c r="D21" s="7"/>
      <c r="E21" s="7"/>
      <c r="F21" s="7"/>
      <c r="G21" s="18"/>
      <c r="H21" s="19"/>
      <c r="I21" s="20"/>
      <c r="J21" s="8"/>
      <c r="K21" s="2"/>
      <c r="L21" s="2"/>
      <c r="M21" s="2"/>
      <c r="N21" s="2"/>
      <c r="O21" s="2"/>
      <c r="P21" s="5" t="str">
        <f t="shared" si="1"/>
        <v xml:space="preserve"> </v>
      </c>
      <c r="Q21" s="4">
        <f t="shared" si="2"/>
        <v>0</v>
      </c>
    </row>
    <row r="22" spans="1:17" ht="15" customHeight="1" x14ac:dyDescent="0.25">
      <c r="A22" s="84" t="s">
        <v>39</v>
      </c>
      <c r="B22" s="85"/>
      <c r="C22" s="85"/>
      <c r="D22" s="85"/>
      <c r="E22" s="85"/>
      <c r="F22" s="85"/>
      <c r="G22" s="85"/>
      <c r="H22" s="85"/>
      <c r="I22" s="85"/>
      <c r="J22" s="86"/>
    </row>
    <row r="23" spans="1:17" s="11" customFormat="1" ht="21.75" customHeight="1" x14ac:dyDescent="0.25">
      <c r="A23" s="53" t="s">
        <v>0</v>
      </c>
      <c r="B23" s="54"/>
      <c r="C23" s="55"/>
      <c r="D23" s="21" t="s">
        <v>5</v>
      </c>
      <c r="E23" s="21" t="s">
        <v>4</v>
      </c>
      <c r="F23" s="21" t="s">
        <v>3</v>
      </c>
      <c r="G23" s="56" t="s">
        <v>2</v>
      </c>
      <c r="H23" s="56"/>
      <c r="I23" s="56"/>
      <c r="J23" s="22" t="s">
        <v>1</v>
      </c>
    </row>
    <row r="24" spans="1:17" ht="58.5" customHeight="1" x14ac:dyDescent="0.25">
      <c r="A24" s="29" t="s">
        <v>36</v>
      </c>
      <c r="B24" s="30"/>
      <c r="C24" s="31"/>
      <c r="D24" s="7"/>
      <c r="E24" s="7"/>
      <c r="F24" s="7"/>
      <c r="G24" s="32"/>
      <c r="H24" s="33"/>
      <c r="I24" s="34"/>
      <c r="J24" s="8" t="str">
        <f t="shared" ref="J24:J26" si="3">P24</f>
        <v xml:space="preserve"> </v>
      </c>
      <c r="P24" s="5" t="str">
        <f t="shared" ref="P24:P32" si="4">IF(D24="x",$Q$88,IF(E24="x","0",IF(F24="x","0"," ")))</f>
        <v xml:space="preserve"> </v>
      </c>
      <c r="Q24" s="4">
        <f t="shared" ref="Q24:Q32" si="5">IF(D24="x","1",IF(E24="x","1","0"))*1</f>
        <v>0</v>
      </c>
    </row>
    <row r="25" spans="1:17" ht="29.25" customHeight="1" x14ac:dyDescent="0.25">
      <c r="A25" s="29" t="s">
        <v>37</v>
      </c>
      <c r="B25" s="30"/>
      <c r="C25" s="31"/>
      <c r="D25" s="7"/>
      <c r="E25" s="7"/>
      <c r="F25" s="7"/>
      <c r="G25" s="32"/>
      <c r="H25" s="33"/>
      <c r="I25" s="34"/>
      <c r="J25" s="8" t="str">
        <f t="shared" si="3"/>
        <v xml:space="preserve"> </v>
      </c>
      <c r="P25" s="5" t="str">
        <f t="shared" si="4"/>
        <v xml:space="preserve"> </v>
      </c>
      <c r="Q25" s="4">
        <f t="shared" si="5"/>
        <v>0</v>
      </c>
    </row>
    <row r="26" spans="1:17" ht="19.5" customHeight="1" x14ac:dyDescent="0.25">
      <c r="A26" s="29" t="s">
        <v>38</v>
      </c>
      <c r="B26" s="30"/>
      <c r="C26" s="31"/>
      <c r="D26" s="7"/>
      <c r="E26" s="7"/>
      <c r="F26" s="7"/>
      <c r="G26" s="32"/>
      <c r="H26" s="33"/>
      <c r="I26" s="34"/>
      <c r="J26" s="8" t="str">
        <f t="shared" si="3"/>
        <v xml:space="preserve"> </v>
      </c>
      <c r="P26" s="5" t="str">
        <f t="shared" si="4"/>
        <v xml:space="preserve"> </v>
      </c>
      <c r="Q26" s="4">
        <f t="shared" si="5"/>
        <v>0</v>
      </c>
    </row>
    <row r="27" spans="1:17" ht="50.25" customHeight="1" x14ac:dyDescent="0.25">
      <c r="A27" s="29" t="s">
        <v>40</v>
      </c>
      <c r="B27" s="30"/>
      <c r="C27" s="31"/>
      <c r="D27" s="7"/>
      <c r="E27" s="7"/>
      <c r="F27" s="7"/>
      <c r="G27" s="32"/>
      <c r="H27" s="33"/>
      <c r="I27" s="34"/>
      <c r="J27" s="8" t="str">
        <f t="shared" ref="J27:J29" si="6">P27</f>
        <v xml:space="preserve"> </v>
      </c>
      <c r="P27" s="5" t="str">
        <f t="shared" si="4"/>
        <v xml:space="preserve"> </v>
      </c>
      <c r="Q27" s="4">
        <f t="shared" si="5"/>
        <v>0</v>
      </c>
    </row>
    <row r="28" spans="1:17" ht="51.75" customHeight="1" x14ac:dyDescent="0.25">
      <c r="A28" s="29" t="s">
        <v>41</v>
      </c>
      <c r="B28" s="30"/>
      <c r="C28" s="31"/>
      <c r="D28" s="7"/>
      <c r="E28" s="7"/>
      <c r="F28" s="7"/>
      <c r="G28" s="87"/>
      <c r="H28" s="87"/>
      <c r="I28" s="87"/>
      <c r="J28" s="8" t="str">
        <f t="shared" si="6"/>
        <v xml:space="preserve"> </v>
      </c>
      <c r="P28" s="5" t="str">
        <f t="shared" si="4"/>
        <v xml:space="preserve"> </v>
      </c>
      <c r="Q28" s="4">
        <f t="shared" si="5"/>
        <v>0</v>
      </c>
    </row>
    <row r="29" spans="1:17" ht="24" customHeight="1" x14ac:dyDescent="0.25">
      <c r="A29" s="29" t="s">
        <v>42</v>
      </c>
      <c r="B29" s="30"/>
      <c r="C29" s="31"/>
      <c r="D29" s="7"/>
      <c r="E29" s="7"/>
      <c r="F29" s="7"/>
      <c r="G29" s="87"/>
      <c r="H29" s="87"/>
      <c r="I29" s="87"/>
      <c r="J29" s="8" t="str">
        <f t="shared" si="6"/>
        <v xml:space="preserve"> </v>
      </c>
      <c r="P29" s="5" t="str">
        <f t="shared" si="4"/>
        <v xml:space="preserve"> </v>
      </c>
      <c r="Q29" s="4">
        <f t="shared" si="5"/>
        <v>0</v>
      </c>
    </row>
    <row r="30" spans="1:17" ht="27.75" customHeight="1" x14ac:dyDescent="0.25">
      <c r="A30" s="29" t="s">
        <v>43</v>
      </c>
      <c r="B30" s="30"/>
      <c r="C30" s="31"/>
      <c r="D30" s="7"/>
      <c r="E30" s="7"/>
      <c r="F30" s="7"/>
      <c r="G30" s="32"/>
      <c r="H30" s="33"/>
      <c r="I30" s="34"/>
      <c r="J30" s="8" t="str">
        <f t="shared" ref="J30:J32" si="7">P30</f>
        <v xml:space="preserve"> </v>
      </c>
      <c r="P30" s="5" t="str">
        <f t="shared" si="4"/>
        <v xml:space="preserve"> </v>
      </c>
      <c r="Q30" s="4">
        <f t="shared" si="5"/>
        <v>0</v>
      </c>
    </row>
    <row r="31" spans="1:17" ht="30.75" customHeight="1" x14ac:dyDescent="0.25">
      <c r="A31" s="29" t="s">
        <v>44</v>
      </c>
      <c r="B31" s="30"/>
      <c r="C31" s="31"/>
      <c r="D31" s="7"/>
      <c r="E31" s="7"/>
      <c r="F31" s="7"/>
      <c r="G31" s="32"/>
      <c r="H31" s="33"/>
      <c r="I31" s="34"/>
      <c r="J31" s="8" t="str">
        <f t="shared" si="7"/>
        <v xml:space="preserve"> </v>
      </c>
      <c r="P31" s="5" t="str">
        <f t="shared" si="4"/>
        <v xml:space="preserve"> </v>
      </c>
      <c r="Q31" s="4">
        <f t="shared" si="5"/>
        <v>0</v>
      </c>
    </row>
    <row r="32" spans="1:17" ht="36" customHeight="1" x14ac:dyDescent="0.25">
      <c r="A32" s="29" t="s">
        <v>45</v>
      </c>
      <c r="B32" s="30"/>
      <c r="C32" s="31"/>
      <c r="D32" s="7"/>
      <c r="E32" s="7"/>
      <c r="F32" s="7"/>
      <c r="G32" s="32"/>
      <c r="H32" s="33"/>
      <c r="I32" s="34"/>
      <c r="J32" s="8" t="str">
        <f t="shared" si="7"/>
        <v xml:space="preserve"> </v>
      </c>
      <c r="P32" s="5" t="str">
        <f t="shared" si="4"/>
        <v xml:space="preserve"> </v>
      </c>
      <c r="Q32" s="4">
        <f t="shared" si="5"/>
        <v>0</v>
      </c>
    </row>
    <row r="33" spans="1:17" ht="36" customHeight="1" x14ac:dyDescent="0.25">
      <c r="A33" s="121" t="s">
        <v>46</v>
      </c>
      <c r="B33" s="122"/>
      <c r="C33" s="123"/>
      <c r="D33" s="7"/>
      <c r="E33" s="7"/>
      <c r="F33" s="7"/>
      <c r="G33" s="18"/>
      <c r="H33" s="19"/>
      <c r="I33" s="20"/>
      <c r="J33" s="8"/>
      <c r="P33" s="5" t="str">
        <f t="shared" ref="P33:P37" si="8">IF(D33="x",$Q$88,IF(E33="x","0",IF(F33="x","0"," ")))</f>
        <v xml:space="preserve"> </v>
      </c>
      <c r="Q33" s="4">
        <f t="shared" ref="Q33:Q37" si="9">IF(D33="x","1",IF(E33="x","1","0"))*1</f>
        <v>0</v>
      </c>
    </row>
    <row r="34" spans="1:17" ht="36" customHeight="1" x14ac:dyDescent="0.25">
      <c r="A34" s="121" t="s">
        <v>47</v>
      </c>
      <c r="B34" s="122"/>
      <c r="C34" s="123"/>
      <c r="D34" s="7"/>
      <c r="E34" s="7"/>
      <c r="F34" s="7"/>
      <c r="G34" s="18"/>
      <c r="H34" s="19"/>
      <c r="I34" s="20"/>
      <c r="J34" s="8"/>
      <c r="P34" s="5" t="str">
        <f t="shared" si="8"/>
        <v xml:space="preserve"> </v>
      </c>
      <c r="Q34" s="4">
        <f t="shared" si="9"/>
        <v>0</v>
      </c>
    </row>
    <row r="35" spans="1:17" ht="36" customHeight="1" x14ac:dyDescent="0.25">
      <c r="A35" s="41" t="s">
        <v>48</v>
      </c>
      <c r="B35" s="42"/>
      <c r="C35" s="43"/>
      <c r="D35" s="7"/>
      <c r="E35" s="7"/>
      <c r="F35" s="7"/>
      <c r="G35" s="18"/>
      <c r="H35" s="19"/>
      <c r="I35" s="20"/>
      <c r="J35" s="8"/>
      <c r="P35" s="5" t="str">
        <f t="shared" si="8"/>
        <v xml:space="preserve"> </v>
      </c>
      <c r="Q35" s="4">
        <f t="shared" si="9"/>
        <v>0</v>
      </c>
    </row>
    <row r="36" spans="1:17" ht="36" customHeight="1" x14ac:dyDescent="0.25">
      <c r="A36" s="41" t="s">
        <v>90</v>
      </c>
      <c r="B36" s="42"/>
      <c r="C36" s="43"/>
      <c r="D36" s="7"/>
      <c r="E36" s="7"/>
      <c r="F36" s="7"/>
      <c r="G36" s="18"/>
      <c r="H36" s="19"/>
      <c r="I36" s="20"/>
      <c r="J36" s="8"/>
      <c r="P36" s="5" t="str">
        <f t="shared" si="8"/>
        <v xml:space="preserve"> </v>
      </c>
      <c r="Q36" s="4">
        <f t="shared" si="9"/>
        <v>0</v>
      </c>
    </row>
    <row r="37" spans="1:17" ht="36" customHeight="1" x14ac:dyDescent="0.25">
      <c r="A37" s="41" t="s">
        <v>49</v>
      </c>
      <c r="B37" s="42"/>
      <c r="C37" s="43"/>
      <c r="D37" s="7"/>
      <c r="E37" s="7"/>
      <c r="F37" s="7"/>
      <c r="G37" s="18"/>
      <c r="H37" s="19"/>
      <c r="I37" s="20"/>
      <c r="J37" s="8"/>
      <c r="P37" s="5" t="str">
        <f t="shared" si="8"/>
        <v xml:space="preserve"> </v>
      </c>
      <c r="Q37" s="4">
        <f t="shared" si="9"/>
        <v>0</v>
      </c>
    </row>
    <row r="38" spans="1:17" ht="21.75" customHeight="1" x14ac:dyDescent="0.25">
      <c r="A38" s="88" t="s">
        <v>50</v>
      </c>
      <c r="B38" s="89"/>
      <c r="C38" s="89"/>
      <c r="D38" s="89"/>
      <c r="E38" s="89"/>
      <c r="F38" s="89"/>
      <c r="G38" s="89"/>
      <c r="H38" s="89"/>
      <c r="I38" s="89"/>
      <c r="J38" s="90"/>
      <c r="P38" s="5"/>
      <c r="Q38" s="4"/>
    </row>
    <row r="39" spans="1:17" ht="23.25" customHeight="1" x14ac:dyDescent="0.25">
      <c r="A39" s="53" t="s">
        <v>0</v>
      </c>
      <c r="B39" s="54"/>
      <c r="C39" s="55"/>
      <c r="D39" s="21" t="s">
        <v>5</v>
      </c>
      <c r="E39" s="21" t="s">
        <v>4</v>
      </c>
      <c r="F39" s="21" t="s">
        <v>3</v>
      </c>
      <c r="G39" s="56" t="s">
        <v>2</v>
      </c>
      <c r="H39" s="56"/>
      <c r="I39" s="56"/>
      <c r="J39" s="22" t="s">
        <v>1</v>
      </c>
    </row>
    <row r="40" spans="1:17" ht="41.25" customHeight="1" x14ac:dyDescent="0.25">
      <c r="A40" s="29" t="s">
        <v>51</v>
      </c>
      <c r="B40" s="30"/>
      <c r="C40" s="31"/>
      <c r="D40" s="7"/>
      <c r="E40" s="7"/>
      <c r="F40" s="7"/>
      <c r="G40" s="87"/>
      <c r="H40" s="87"/>
      <c r="I40" s="87"/>
      <c r="J40" s="8" t="str">
        <f t="shared" ref="J40" si="10">P40</f>
        <v xml:space="preserve"> </v>
      </c>
      <c r="P40" s="5" t="str">
        <f>IF(D40="x",$Q$88,IF(E40="x","0",IF(F40="x","0"," ")))</f>
        <v xml:space="preserve"> </v>
      </c>
      <c r="Q40" s="4">
        <f t="shared" ref="Q40" si="11">IF(D40="x","1",IF(E40="x","1","0"))*1</f>
        <v>0</v>
      </c>
    </row>
    <row r="41" spans="1:17" ht="15" customHeight="1" x14ac:dyDescent="0.25">
      <c r="A41" s="88" t="s">
        <v>52</v>
      </c>
      <c r="B41" s="89"/>
      <c r="C41" s="89"/>
      <c r="D41" s="89"/>
      <c r="E41" s="89"/>
      <c r="F41" s="89"/>
      <c r="G41" s="89"/>
      <c r="H41" s="89"/>
      <c r="I41" s="89"/>
      <c r="J41" s="90"/>
    </row>
    <row r="42" spans="1:17" ht="25.5" x14ac:dyDescent="0.25">
      <c r="A42" s="53" t="s">
        <v>0</v>
      </c>
      <c r="B42" s="54"/>
      <c r="C42" s="55"/>
      <c r="D42" s="21" t="s">
        <v>5</v>
      </c>
      <c r="E42" s="21" t="s">
        <v>4</v>
      </c>
      <c r="F42" s="21" t="s">
        <v>3</v>
      </c>
      <c r="G42" s="56" t="s">
        <v>2</v>
      </c>
      <c r="H42" s="56"/>
      <c r="I42" s="56"/>
      <c r="J42" s="22" t="s">
        <v>1</v>
      </c>
    </row>
    <row r="43" spans="1:17" ht="54" customHeight="1" x14ac:dyDescent="0.25">
      <c r="A43" s="29" t="s">
        <v>53</v>
      </c>
      <c r="B43" s="30"/>
      <c r="C43" s="31"/>
      <c r="D43" s="7"/>
      <c r="E43" s="7"/>
      <c r="F43" s="7"/>
      <c r="G43" s="87"/>
      <c r="H43" s="87"/>
      <c r="I43" s="87"/>
      <c r="J43" s="8" t="str">
        <f t="shared" ref="J43:J46" si="12">P43</f>
        <v xml:space="preserve"> </v>
      </c>
      <c r="P43" s="5" t="str">
        <f>IF(D43="x",$Q$88,IF(E43="x","0",IF(F43="x","0"," ")))</f>
        <v xml:space="preserve"> </v>
      </c>
      <c r="Q43" s="4">
        <f>IF(D43="x","1",IF(E43="x","1","0"))*1</f>
        <v>0</v>
      </c>
    </row>
    <row r="44" spans="1:17" ht="29.25" customHeight="1" x14ac:dyDescent="0.25">
      <c r="A44" s="29" t="s">
        <v>54</v>
      </c>
      <c r="B44" s="30"/>
      <c r="C44" s="31"/>
      <c r="D44" s="7"/>
      <c r="E44" s="7"/>
      <c r="F44" s="7"/>
      <c r="G44" s="87"/>
      <c r="H44" s="87"/>
      <c r="I44" s="87"/>
      <c r="J44" s="8" t="str">
        <f t="shared" si="12"/>
        <v xml:space="preserve"> </v>
      </c>
      <c r="P44" s="5" t="str">
        <f>IF(D44="x",$Q$88,IF(E44="x","0",IF(F44="x","0"," ")))</f>
        <v xml:space="preserve"> </v>
      </c>
      <c r="Q44" s="4">
        <f>IF(D44="x","1",IF(E44="x","1","0"))*1</f>
        <v>0</v>
      </c>
    </row>
    <row r="45" spans="1:17" ht="32.25" customHeight="1" x14ac:dyDescent="0.25">
      <c r="A45" s="29" t="s">
        <v>55</v>
      </c>
      <c r="B45" s="30"/>
      <c r="C45" s="31"/>
      <c r="D45" s="7"/>
      <c r="E45" s="7"/>
      <c r="F45" s="7"/>
      <c r="G45" s="87"/>
      <c r="H45" s="87"/>
      <c r="I45" s="87"/>
      <c r="J45" s="8" t="str">
        <f t="shared" si="12"/>
        <v xml:space="preserve"> </v>
      </c>
      <c r="P45" s="5" t="str">
        <f>IF(D45="x",$Q$88,IF(E45="x","0",IF(F45="x","0"," ")))</f>
        <v xml:space="preserve"> </v>
      </c>
      <c r="Q45" s="4">
        <f>IF(D45="x","1",IF(E45="x","1","0"))*1</f>
        <v>0</v>
      </c>
    </row>
    <row r="46" spans="1:17" ht="33" customHeight="1" x14ac:dyDescent="0.25">
      <c r="A46" s="35" t="s">
        <v>56</v>
      </c>
      <c r="B46" s="36"/>
      <c r="C46" s="37"/>
      <c r="D46" s="7"/>
      <c r="E46" s="7"/>
      <c r="F46" s="7"/>
      <c r="G46" s="87"/>
      <c r="H46" s="87"/>
      <c r="I46" s="87"/>
      <c r="J46" s="8" t="str">
        <f t="shared" si="12"/>
        <v xml:space="preserve"> </v>
      </c>
      <c r="P46" s="5" t="str">
        <f>IF(D46="x",$Q$88,IF(E46="x","0",IF(F46="x","0"," ")))</f>
        <v xml:space="preserve"> </v>
      </c>
      <c r="Q46" s="4">
        <f>IF(D46="x","1",IF(E46="x","1","0"))*1</f>
        <v>0</v>
      </c>
    </row>
    <row r="47" spans="1:17" ht="17.25" customHeight="1" x14ac:dyDescent="0.25">
      <c r="A47" s="88" t="s">
        <v>57</v>
      </c>
      <c r="B47" s="89"/>
      <c r="C47" s="89"/>
      <c r="D47" s="89"/>
      <c r="E47" s="89"/>
      <c r="F47" s="89"/>
      <c r="G47" s="89"/>
      <c r="H47" s="89"/>
      <c r="I47" s="89"/>
      <c r="J47" s="90"/>
    </row>
    <row r="48" spans="1:17" s="11" customFormat="1" ht="25.5" x14ac:dyDescent="0.25">
      <c r="A48" s="53" t="s">
        <v>0</v>
      </c>
      <c r="B48" s="54"/>
      <c r="C48" s="55"/>
      <c r="D48" s="21" t="s">
        <v>5</v>
      </c>
      <c r="E48" s="21" t="s">
        <v>4</v>
      </c>
      <c r="F48" s="21" t="s">
        <v>3</v>
      </c>
      <c r="G48" s="56" t="s">
        <v>2</v>
      </c>
      <c r="H48" s="56"/>
      <c r="I48" s="56"/>
      <c r="J48" s="22" t="s">
        <v>1</v>
      </c>
    </row>
    <row r="49" spans="1:17" ht="65.25" customHeight="1" x14ac:dyDescent="0.25">
      <c r="A49" s="35" t="s">
        <v>58</v>
      </c>
      <c r="B49" s="36"/>
      <c r="C49" s="37"/>
      <c r="D49" s="7"/>
      <c r="E49" s="7"/>
      <c r="F49" s="7"/>
      <c r="G49" s="87"/>
      <c r="H49" s="87"/>
      <c r="I49" s="87"/>
      <c r="J49" s="8" t="str">
        <f t="shared" ref="J49:J54" si="13">P49</f>
        <v xml:space="preserve"> </v>
      </c>
      <c r="P49" s="5" t="str">
        <f t="shared" ref="P49:P54" si="14">IF(D49="x",$Q$88,IF(E49="x","0",IF(F49="x","0"," ")))</f>
        <v xml:space="preserve"> </v>
      </c>
      <c r="Q49" s="4">
        <f t="shared" ref="Q49:Q54" si="15">IF(D49="x","1",IF(E49="x","1","0"))*1</f>
        <v>0</v>
      </c>
    </row>
    <row r="50" spans="1:17" ht="60" customHeight="1" x14ac:dyDescent="0.25">
      <c r="A50" s="35" t="s">
        <v>59</v>
      </c>
      <c r="B50" s="36"/>
      <c r="C50" s="37"/>
      <c r="D50" s="7"/>
      <c r="E50" s="7"/>
      <c r="F50" s="7"/>
      <c r="G50" s="87"/>
      <c r="H50" s="87"/>
      <c r="I50" s="87"/>
      <c r="J50" s="8" t="str">
        <f t="shared" si="13"/>
        <v xml:space="preserve"> </v>
      </c>
      <c r="P50" s="5" t="str">
        <f t="shared" si="14"/>
        <v xml:space="preserve"> </v>
      </c>
      <c r="Q50" s="4">
        <f t="shared" si="15"/>
        <v>0</v>
      </c>
    </row>
    <row r="51" spans="1:17" ht="41.25" customHeight="1" x14ac:dyDescent="0.25">
      <c r="A51" s="35" t="s">
        <v>60</v>
      </c>
      <c r="B51" s="36"/>
      <c r="C51" s="37"/>
      <c r="D51" s="7"/>
      <c r="E51" s="7"/>
      <c r="F51" s="7"/>
      <c r="G51" s="87"/>
      <c r="H51" s="87"/>
      <c r="I51" s="87"/>
      <c r="J51" s="8" t="str">
        <f t="shared" si="13"/>
        <v xml:space="preserve"> </v>
      </c>
      <c r="P51" s="5" t="str">
        <f t="shared" si="14"/>
        <v xml:space="preserve"> </v>
      </c>
      <c r="Q51" s="4">
        <f t="shared" si="15"/>
        <v>0</v>
      </c>
    </row>
    <row r="52" spans="1:17" ht="65.25" customHeight="1" x14ac:dyDescent="0.25">
      <c r="A52" s="35" t="s">
        <v>61</v>
      </c>
      <c r="B52" s="36"/>
      <c r="C52" s="37"/>
      <c r="D52" s="7"/>
      <c r="E52" s="7"/>
      <c r="F52" s="7"/>
      <c r="G52" s="87"/>
      <c r="H52" s="87"/>
      <c r="I52" s="87"/>
      <c r="J52" s="8" t="str">
        <f t="shared" si="13"/>
        <v xml:space="preserve"> </v>
      </c>
      <c r="P52" s="5" t="str">
        <f t="shared" si="14"/>
        <v xml:space="preserve"> </v>
      </c>
      <c r="Q52" s="4">
        <f t="shared" si="15"/>
        <v>0</v>
      </c>
    </row>
    <row r="53" spans="1:17" ht="58.5" customHeight="1" x14ac:dyDescent="0.25">
      <c r="A53" s="35" t="s">
        <v>62</v>
      </c>
      <c r="B53" s="36"/>
      <c r="C53" s="37"/>
      <c r="D53" s="7"/>
      <c r="E53" s="7"/>
      <c r="F53" s="7"/>
      <c r="G53" s="87"/>
      <c r="H53" s="87"/>
      <c r="I53" s="87"/>
      <c r="J53" s="8" t="str">
        <f t="shared" si="13"/>
        <v xml:space="preserve"> </v>
      </c>
      <c r="P53" s="5" t="str">
        <f t="shared" si="14"/>
        <v xml:space="preserve"> </v>
      </c>
      <c r="Q53" s="4">
        <f t="shared" si="15"/>
        <v>0</v>
      </c>
    </row>
    <row r="54" spans="1:17" ht="56.25" customHeight="1" x14ac:dyDescent="0.25">
      <c r="A54" s="35" t="s">
        <v>56</v>
      </c>
      <c r="B54" s="36"/>
      <c r="C54" s="37"/>
      <c r="D54" s="7"/>
      <c r="E54" s="7"/>
      <c r="F54" s="7"/>
      <c r="G54" s="87"/>
      <c r="H54" s="87"/>
      <c r="I54" s="87"/>
      <c r="J54" s="8" t="str">
        <f t="shared" si="13"/>
        <v xml:space="preserve"> </v>
      </c>
      <c r="P54" s="5" t="str">
        <f t="shared" si="14"/>
        <v xml:space="preserve"> </v>
      </c>
      <c r="Q54" s="4">
        <f t="shared" si="15"/>
        <v>0</v>
      </c>
    </row>
    <row r="55" spans="1:17" ht="15.75" customHeight="1" x14ac:dyDescent="0.25">
      <c r="A55" s="84" t="s">
        <v>63</v>
      </c>
      <c r="B55" s="85"/>
      <c r="C55" s="85"/>
      <c r="D55" s="85"/>
      <c r="E55" s="85"/>
      <c r="F55" s="85"/>
      <c r="G55" s="85"/>
      <c r="H55" s="85"/>
      <c r="I55" s="85"/>
      <c r="J55" s="86"/>
    </row>
    <row r="56" spans="1:17" ht="41.25" customHeight="1" x14ac:dyDescent="0.25">
      <c r="A56" s="53" t="s">
        <v>0</v>
      </c>
      <c r="B56" s="54"/>
      <c r="C56" s="55"/>
      <c r="D56" s="21" t="s">
        <v>5</v>
      </c>
      <c r="E56" s="21" t="s">
        <v>4</v>
      </c>
      <c r="F56" s="21" t="s">
        <v>3</v>
      </c>
      <c r="G56" s="56" t="s">
        <v>2</v>
      </c>
      <c r="H56" s="56"/>
      <c r="I56" s="56"/>
      <c r="J56" s="22" t="s">
        <v>1</v>
      </c>
      <c r="P56" s="5" t="str">
        <f>IF(D56="x",$Q$88,IF(E56="x","0",IF(F56="x","0"," ")))</f>
        <v xml:space="preserve"> </v>
      </c>
      <c r="Q56" s="4">
        <f>IF(D56="x","1",IF(E56="x","1","0"))*1</f>
        <v>0</v>
      </c>
    </row>
    <row r="57" spans="1:17" ht="36.75" customHeight="1" x14ac:dyDescent="0.25">
      <c r="A57" s="91" t="s">
        <v>64</v>
      </c>
      <c r="B57" s="92"/>
      <c r="C57" s="93"/>
      <c r="D57" s="7"/>
      <c r="E57" s="7"/>
      <c r="F57" s="7"/>
      <c r="G57" s="32"/>
      <c r="H57" s="33"/>
      <c r="I57" s="34"/>
      <c r="J57" s="8" t="str">
        <f t="shared" ref="J57:J61" si="16">P57</f>
        <v xml:space="preserve"> </v>
      </c>
      <c r="P57" s="5" t="str">
        <f>IF(D57="x",$Q$88,IF(E57="x","0",IF(F57="x","0"," ")))</f>
        <v xml:space="preserve"> </v>
      </c>
      <c r="Q57" s="4">
        <f t="shared" ref="Q57:Q61" si="17">IF(D57="x","1",IF(E57="x","1","0"))*1</f>
        <v>0</v>
      </c>
    </row>
    <row r="58" spans="1:17" ht="13.5" customHeight="1" x14ac:dyDescent="0.25">
      <c r="A58" s="133" t="s">
        <v>65</v>
      </c>
      <c r="B58" s="134"/>
      <c r="C58" s="135"/>
      <c r="D58" s="7"/>
      <c r="E58" s="7"/>
      <c r="F58" s="7"/>
      <c r="G58" s="87"/>
      <c r="H58" s="87"/>
      <c r="I58" s="87"/>
      <c r="J58" s="8" t="str">
        <f t="shared" si="16"/>
        <v xml:space="preserve"> </v>
      </c>
      <c r="P58" s="5" t="str">
        <f>IF(D58="x",$Q$88,IF(E58="x","0",IF(F58="x","0"," ")))</f>
        <v xml:space="preserve"> </v>
      </c>
      <c r="Q58" s="4">
        <f t="shared" si="17"/>
        <v>0</v>
      </c>
    </row>
    <row r="59" spans="1:17" ht="55.5" customHeight="1" x14ac:dyDescent="0.25">
      <c r="A59" s="133" t="s">
        <v>66</v>
      </c>
      <c r="B59" s="134"/>
      <c r="C59" s="135"/>
      <c r="D59" s="7"/>
      <c r="E59" s="7"/>
      <c r="F59" s="7"/>
      <c r="G59" s="87"/>
      <c r="H59" s="87"/>
      <c r="I59" s="87"/>
      <c r="J59" s="8" t="str">
        <f t="shared" si="16"/>
        <v xml:space="preserve"> </v>
      </c>
      <c r="P59" s="5" t="str">
        <f t="shared" ref="P59:P61" si="18">IF(D59="x",$Q$88,IF(E59="x","0",IF(F59="x","0"," ")))</f>
        <v xml:space="preserve"> </v>
      </c>
      <c r="Q59" s="4">
        <f t="shared" si="17"/>
        <v>0</v>
      </c>
    </row>
    <row r="60" spans="1:17" ht="51.75" customHeight="1" x14ac:dyDescent="0.25">
      <c r="A60" s="133" t="s">
        <v>67</v>
      </c>
      <c r="B60" s="134"/>
      <c r="C60" s="135"/>
      <c r="D60" s="7"/>
      <c r="E60" s="7"/>
      <c r="F60" s="7"/>
      <c r="G60" s="87"/>
      <c r="H60" s="87"/>
      <c r="I60" s="87"/>
      <c r="J60" s="8" t="str">
        <f t="shared" si="16"/>
        <v xml:space="preserve"> </v>
      </c>
      <c r="P60" s="5" t="str">
        <f t="shared" si="18"/>
        <v xml:space="preserve"> </v>
      </c>
      <c r="Q60" s="4">
        <f t="shared" si="17"/>
        <v>0</v>
      </c>
    </row>
    <row r="61" spans="1:17" ht="12.75" customHeight="1" x14ac:dyDescent="0.25">
      <c r="A61" s="133" t="s">
        <v>68</v>
      </c>
      <c r="B61" s="134"/>
      <c r="C61" s="135"/>
      <c r="D61" s="7"/>
      <c r="E61" s="7"/>
      <c r="F61" s="7"/>
      <c r="G61" s="87"/>
      <c r="H61" s="87"/>
      <c r="I61" s="87"/>
      <c r="J61" s="8" t="str">
        <f t="shared" si="16"/>
        <v xml:space="preserve"> </v>
      </c>
      <c r="P61" s="5" t="str">
        <f t="shared" si="18"/>
        <v xml:space="preserve"> </v>
      </c>
      <c r="Q61" s="4">
        <f t="shared" si="17"/>
        <v>0</v>
      </c>
    </row>
    <row r="62" spans="1:17" ht="19.5" customHeight="1" x14ac:dyDescent="0.25">
      <c r="A62" s="84" t="s">
        <v>69</v>
      </c>
      <c r="B62" s="85"/>
      <c r="C62" s="85"/>
      <c r="D62" s="85"/>
      <c r="E62" s="85"/>
      <c r="F62" s="85"/>
      <c r="G62" s="85"/>
      <c r="H62" s="85"/>
      <c r="I62" s="85"/>
      <c r="J62" s="86"/>
    </row>
    <row r="63" spans="1:17" ht="29.25" customHeight="1" x14ac:dyDescent="0.25">
      <c r="A63" s="53" t="s">
        <v>0</v>
      </c>
      <c r="B63" s="54"/>
      <c r="C63" s="55"/>
      <c r="D63" s="21" t="s">
        <v>5</v>
      </c>
      <c r="E63" s="21" t="s">
        <v>4</v>
      </c>
      <c r="F63" s="21" t="s">
        <v>3</v>
      </c>
      <c r="G63" s="56" t="s">
        <v>2</v>
      </c>
      <c r="H63" s="56"/>
      <c r="I63" s="56"/>
      <c r="J63" s="22" t="s">
        <v>1</v>
      </c>
      <c r="P63" s="5"/>
      <c r="Q63" s="4"/>
    </row>
    <row r="64" spans="1:17" ht="43.5" customHeight="1" x14ac:dyDescent="0.25">
      <c r="A64" s="130" t="s">
        <v>70</v>
      </c>
      <c r="B64" s="131"/>
      <c r="C64" s="132"/>
      <c r="D64" s="7"/>
      <c r="E64" s="7"/>
      <c r="F64" s="7"/>
      <c r="G64" s="87"/>
      <c r="H64" s="87"/>
      <c r="I64" s="87"/>
      <c r="J64" s="8" t="str">
        <f t="shared" ref="J64:J65" si="19">P64</f>
        <v xml:space="preserve"> </v>
      </c>
      <c r="P64" s="5" t="str">
        <f>IF(D64="x",$Q$88,IF(E64="x","0",IF(F64="x","0"," ")))</f>
        <v xml:space="preserve"> </v>
      </c>
      <c r="Q64" s="4">
        <f t="shared" ref="Q64:Q65" si="20">IF(D64="x","1",IF(E64="x","1","0"))*1</f>
        <v>0</v>
      </c>
    </row>
    <row r="65" spans="1:17" ht="93" customHeight="1" x14ac:dyDescent="0.25">
      <c r="A65" s="130" t="s">
        <v>91</v>
      </c>
      <c r="B65" s="131"/>
      <c r="C65" s="132"/>
      <c r="D65" s="7"/>
      <c r="E65" s="7"/>
      <c r="F65" s="7"/>
      <c r="G65" s="87"/>
      <c r="H65" s="87"/>
      <c r="I65" s="87"/>
      <c r="J65" s="8" t="str">
        <f t="shared" si="19"/>
        <v xml:space="preserve"> </v>
      </c>
      <c r="P65" s="5" t="str">
        <f>IF(D65="x",$Q$88,IF(E65="x","0",IF(F65="x","0"," ")))</f>
        <v xml:space="preserve"> </v>
      </c>
      <c r="Q65" s="4">
        <f t="shared" si="20"/>
        <v>0</v>
      </c>
    </row>
    <row r="66" spans="1:17" ht="16.5" customHeight="1" x14ac:dyDescent="0.25">
      <c r="A66" s="84" t="s">
        <v>71</v>
      </c>
      <c r="B66" s="85"/>
      <c r="C66" s="85"/>
      <c r="D66" s="85"/>
      <c r="E66" s="85"/>
      <c r="F66" s="85"/>
      <c r="G66" s="85"/>
      <c r="H66" s="85"/>
      <c r="I66" s="85"/>
      <c r="J66" s="86"/>
    </row>
    <row r="67" spans="1:17" s="11" customFormat="1" ht="27.75" customHeight="1" x14ac:dyDescent="0.25">
      <c r="A67" s="53" t="s">
        <v>0</v>
      </c>
      <c r="B67" s="54"/>
      <c r="C67" s="55"/>
      <c r="D67" s="21" t="s">
        <v>5</v>
      </c>
      <c r="E67" s="21" t="s">
        <v>4</v>
      </c>
      <c r="F67" s="21" t="s">
        <v>3</v>
      </c>
      <c r="G67" s="56" t="s">
        <v>2</v>
      </c>
      <c r="H67" s="56"/>
      <c r="I67" s="56"/>
      <c r="J67" s="22" t="s">
        <v>1</v>
      </c>
    </row>
    <row r="68" spans="1:17" s="11" customFormat="1" ht="27.75" customHeight="1" x14ac:dyDescent="0.25">
      <c r="A68" s="136" t="s">
        <v>72</v>
      </c>
      <c r="B68" s="137"/>
      <c r="C68" s="137"/>
      <c r="D68" s="27"/>
      <c r="E68" s="27"/>
      <c r="F68" s="27"/>
      <c r="G68" s="138"/>
      <c r="H68" s="139"/>
      <c r="I68" s="140"/>
      <c r="J68" s="8" t="str">
        <f>P68</f>
        <v xml:space="preserve"> </v>
      </c>
      <c r="P68" s="5" t="str">
        <f>IF(D68="x",$Q$88,IF(E68="x","0",IF(F68="x","0"," ")))</f>
        <v xml:space="preserve"> </v>
      </c>
      <c r="Q68" s="4">
        <f t="shared" ref="Q68" si="21">IF(D68="x","1",IF(E68="x","1","0"))*1</f>
        <v>0</v>
      </c>
    </row>
    <row r="69" spans="1:17" s="11" customFormat="1" ht="27.75" customHeight="1" x14ac:dyDescent="0.25">
      <c r="A69" s="141" t="s">
        <v>73</v>
      </c>
      <c r="B69" s="42"/>
      <c r="C69" s="43"/>
      <c r="D69" s="27"/>
      <c r="E69" s="27"/>
      <c r="F69" s="27"/>
      <c r="G69" s="28"/>
      <c r="H69" s="25"/>
      <c r="I69" s="26"/>
      <c r="J69" s="8"/>
      <c r="P69" s="5" t="str">
        <f t="shared" ref="P69:P73" si="22">IF(D69="x",$Q$88,IF(E69="x","0",IF(F69="x","0"," ")))</f>
        <v xml:space="preserve"> </v>
      </c>
      <c r="Q69" s="4">
        <f t="shared" ref="Q69:Q73" si="23">IF(D69="x","1",IF(E69="x","1","0"))*1</f>
        <v>0</v>
      </c>
    </row>
    <row r="70" spans="1:17" s="11" customFormat="1" ht="27.75" customHeight="1" x14ac:dyDescent="0.25">
      <c r="A70" s="141" t="s">
        <v>74</v>
      </c>
      <c r="B70" s="42"/>
      <c r="C70" s="43"/>
      <c r="D70" s="27"/>
      <c r="E70" s="27"/>
      <c r="F70" s="27"/>
      <c r="G70" s="28"/>
      <c r="H70" s="25"/>
      <c r="I70" s="26"/>
      <c r="J70" s="8"/>
      <c r="P70" s="5" t="str">
        <f t="shared" si="22"/>
        <v xml:space="preserve"> </v>
      </c>
      <c r="Q70" s="4">
        <f t="shared" si="23"/>
        <v>0</v>
      </c>
    </row>
    <row r="71" spans="1:17" s="11" customFormat="1" ht="27.75" customHeight="1" x14ac:dyDescent="0.25">
      <c r="A71" s="141" t="s">
        <v>75</v>
      </c>
      <c r="B71" s="42"/>
      <c r="C71" s="43"/>
      <c r="D71" s="27"/>
      <c r="E71" s="27"/>
      <c r="F71" s="27"/>
      <c r="G71" s="28"/>
      <c r="H71" s="25"/>
      <c r="I71" s="26"/>
      <c r="J71" s="8"/>
      <c r="P71" s="5" t="str">
        <f t="shared" si="22"/>
        <v xml:space="preserve"> </v>
      </c>
      <c r="Q71" s="4">
        <f t="shared" si="23"/>
        <v>0</v>
      </c>
    </row>
    <row r="72" spans="1:17" s="11" customFormat="1" ht="41.25" customHeight="1" x14ac:dyDescent="0.25">
      <c r="A72" s="141" t="s">
        <v>76</v>
      </c>
      <c r="B72" s="42"/>
      <c r="C72" s="43"/>
      <c r="D72" s="27"/>
      <c r="E72" s="27"/>
      <c r="F72" s="27"/>
      <c r="G72" s="28"/>
      <c r="H72" s="25"/>
      <c r="I72" s="26"/>
      <c r="J72" s="8"/>
      <c r="P72" s="5" t="str">
        <f t="shared" si="22"/>
        <v xml:space="preserve"> </v>
      </c>
      <c r="Q72" s="4">
        <f t="shared" si="23"/>
        <v>0</v>
      </c>
    </row>
    <row r="73" spans="1:17" s="11" customFormat="1" ht="27.75" customHeight="1" x14ac:dyDescent="0.25">
      <c r="A73" s="141" t="s">
        <v>77</v>
      </c>
      <c r="B73" s="42"/>
      <c r="C73" s="43"/>
      <c r="D73" s="27"/>
      <c r="E73" s="27"/>
      <c r="F73" s="27"/>
      <c r="G73" s="28"/>
      <c r="H73" s="25"/>
      <c r="I73" s="26"/>
      <c r="J73" s="8"/>
      <c r="P73" s="5" t="str">
        <f t="shared" si="22"/>
        <v xml:space="preserve"> </v>
      </c>
      <c r="Q73" s="4">
        <f t="shared" si="23"/>
        <v>0</v>
      </c>
    </row>
    <row r="74" spans="1:17" s="11" customFormat="1" ht="27.75" customHeight="1" x14ac:dyDescent="0.25">
      <c r="A74" s="84" t="s">
        <v>78</v>
      </c>
      <c r="B74" s="85"/>
      <c r="C74" s="85"/>
      <c r="D74" s="85"/>
      <c r="E74" s="85"/>
      <c r="F74" s="85"/>
      <c r="G74" s="85"/>
      <c r="H74" s="85"/>
      <c r="I74" s="85"/>
      <c r="J74" s="86"/>
    </row>
    <row r="75" spans="1:17" s="11" customFormat="1" ht="27.75" customHeight="1" x14ac:dyDescent="0.25">
      <c r="A75" s="53" t="s">
        <v>0</v>
      </c>
      <c r="B75" s="54"/>
      <c r="C75" s="55"/>
      <c r="D75" s="21" t="s">
        <v>5</v>
      </c>
      <c r="E75" s="21" t="s">
        <v>4</v>
      </c>
      <c r="F75" s="21" t="s">
        <v>3</v>
      </c>
      <c r="G75" s="56" t="s">
        <v>2</v>
      </c>
      <c r="H75" s="56"/>
      <c r="I75" s="56"/>
      <c r="J75" s="22" t="s">
        <v>1</v>
      </c>
    </row>
    <row r="76" spans="1:17" ht="38.25" customHeight="1" x14ac:dyDescent="0.25">
      <c r="A76" s="106" t="s">
        <v>80</v>
      </c>
      <c r="B76" s="107"/>
      <c r="C76" s="108"/>
      <c r="D76" s="7"/>
      <c r="E76" s="7"/>
      <c r="F76" s="7"/>
      <c r="G76" s="32"/>
      <c r="H76" s="33"/>
      <c r="I76" s="34"/>
      <c r="J76" s="8" t="str">
        <f>P76</f>
        <v xml:space="preserve"> </v>
      </c>
      <c r="P76" s="5" t="str">
        <f>IF(D76="x",$Q$88,IF(E76="x","0",IF(F76="x","0"," ")))</f>
        <v xml:space="preserve"> </v>
      </c>
      <c r="Q76" s="4">
        <f>IF(D76="x","1",IF(E76="x","1","0"))*1</f>
        <v>0</v>
      </c>
    </row>
    <row r="77" spans="1:17" ht="38.25" customHeight="1" x14ac:dyDescent="0.25">
      <c r="A77" s="106" t="s">
        <v>81</v>
      </c>
      <c r="B77" s="107"/>
      <c r="C77" s="108"/>
      <c r="D77" s="7"/>
      <c r="E77" s="7"/>
      <c r="F77" s="7"/>
      <c r="G77" s="32"/>
      <c r="H77" s="33"/>
      <c r="I77" s="34"/>
      <c r="J77" s="8" t="str">
        <f t="shared" ref="J77" si="24">P77</f>
        <v xml:space="preserve"> </v>
      </c>
      <c r="P77" s="5" t="str">
        <f>IF(D77="x",$Q$88,IF(E77="x","0",IF(F77="x","0"," ")))</f>
        <v xml:space="preserve"> </v>
      </c>
      <c r="Q77" s="4">
        <f>IF(D77="x","1",IF(E77="x","1","0"))*1</f>
        <v>0</v>
      </c>
    </row>
    <row r="78" spans="1:17" ht="38.25" customHeight="1" x14ac:dyDescent="0.25">
      <c r="A78" s="84" t="s">
        <v>79</v>
      </c>
      <c r="B78" s="85"/>
      <c r="C78" s="85"/>
      <c r="D78" s="85"/>
      <c r="E78" s="85"/>
      <c r="F78" s="85"/>
      <c r="G78" s="85"/>
      <c r="H78" s="85"/>
      <c r="I78" s="85"/>
      <c r="J78" s="86"/>
      <c r="P78" s="23"/>
      <c r="Q78" s="24"/>
    </row>
    <row r="79" spans="1:17" ht="38.25" customHeight="1" x14ac:dyDescent="0.25">
      <c r="A79" s="53" t="s">
        <v>0</v>
      </c>
      <c r="B79" s="54"/>
      <c r="C79" s="55"/>
      <c r="D79" s="21" t="s">
        <v>5</v>
      </c>
      <c r="E79" s="21" t="s">
        <v>4</v>
      </c>
      <c r="F79" s="21" t="s">
        <v>3</v>
      </c>
      <c r="G79" s="56" t="s">
        <v>2</v>
      </c>
      <c r="H79" s="56"/>
      <c r="I79" s="56"/>
      <c r="J79" s="22" t="s">
        <v>1</v>
      </c>
      <c r="P79" s="23"/>
      <c r="Q79" s="24"/>
    </row>
    <row r="80" spans="1:17" ht="38.25" customHeight="1" x14ac:dyDescent="0.25">
      <c r="A80" s="117" t="s">
        <v>82</v>
      </c>
      <c r="B80" s="118"/>
      <c r="C80" s="119"/>
      <c r="D80" s="7"/>
      <c r="E80" s="7"/>
      <c r="F80" s="7"/>
      <c r="G80" s="32"/>
      <c r="H80" s="33"/>
      <c r="I80" s="34"/>
      <c r="J80" s="8" t="str">
        <f t="shared" ref="J80:J84" si="25">P80</f>
        <v xml:space="preserve"> </v>
      </c>
      <c r="P80" s="5" t="str">
        <f>IF(D80="x",$Q$88,IF(E80="x","0",IF(F80="x","0"," ")))</f>
        <v xml:space="preserve"> </v>
      </c>
      <c r="Q80" s="4">
        <f>IF(D80="x","1",IF(E80="x","1","0"))*1</f>
        <v>0</v>
      </c>
    </row>
    <row r="81" spans="1:17" ht="38.25" customHeight="1" x14ac:dyDescent="0.25">
      <c r="A81" s="120" t="s">
        <v>83</v>
      </c>
      <c r="B81" s="120"/>
      <c r="C81" s="120"/>
      <c r="D81" s="7"/>
      <c r="E81" s="7"/>
      <c r="F81" s="7"/>
      <c r="G81" s="32"/>
      <c r="H81" s="33"/>
      <c r="I81" s="34"/>
      <c r="J81" s="8" t="str">
        <f t="shared" si="25"/>
        <v xml:space="preserve"> </v>
      </c>
      <c r="P81" s="5" t="str">
        <f t="shared" ref="P81:P84" si="26">IF(D81="x",$Q$88,IF(E81="x","0",IF(F81="x","0"," ")))</f>
        <v xml:space="preserve"> </v>
      </c>
      <c r="Q81" s="4">
        <f t="shared" ref="Q81:Q84" si="27">IF(D81="x","1",IF(E81="x","1","0"))*1</f>
        <v>0</v>
      </c>
    </row>
    <row r="82" spans="1:17" ht="38.25" customHeight="1" x14ac:dyDescent="0.25">
      <c r="A82" s="120" t="s">
        <v>84</v>
      </c>
      <c r="B82" s="120"/>
      <c r="C82" s="120"/>
      <c r="D82" s="7"/>
      <c r="E82" s="7"/>
      <c r="F82" s="7"/>
      <c r="G82" s="32"/>
      <c r="H82" s="33"/>
      <c r="I82" s="34"/>
      <c r="J82" s="8" t="str">
        <f t="shared" si="25"/>
        <v xml:space="preserve"> </v>
      </c>
      <c r="P82" s="5" t="str">
        <f t="shared" si="26"/>
        <v xml:space="preserve"> </v>
      </c>
      <c r="Q82" s="4">
        <f t="shared" si="27"/>
        <v>0</v>
      </c>
    </row>
    <row r="83" spans="1:17" ht="38.25" customHeight="1" x14ac:dyDescent="0.25">
      <c r="A83" s="120" t="s">
        <v>85</v>
      </c>
      <c r="B83" s="120"/>
      <c r="C83" s="120"/>
      <c r="D83" s="7"/>
      <c r="E83" s="7"/>
      <c r="F83" s="7"/>
      <c r="G83" s="32"/>
      <c r="H83" s="33"/>
      <c r="I83" s="34"/>
      <c r="J83" s="8" t="str">
        <f t="shared" si="25"/>
        <v xml:space="preserve"> </v>
      </c>
      <c r="P83" s="5" t="str">
        <f t="shared" si="26"/>
        <v xml:space="preserve"> </v>
      </c>
      <c r="Q83" s="4">
        <f t="shared" si="27"/>
        <v>0</v>
      </c>
    </row>
    <row r="84" spans="1:17" ht="38.25" customHeight="1" x14ac:dyDescent="0.25">
      <c r="A84" s="120" t="s">
        <v>86</v>
      </c>
      <c r="B84" s="120"/>
      <c r="C84" s="120"/>
      <c r="D84" s="7"/>
      <c r="E84" s="7"/>
      <c r="F84" s="7"/>
      <c r="G84" s="32"/>
      <c r="H84" s="33"/>
      <c r="I84" s="34"/>
      <c r="J84" s="8" t="str">
        <f t="shared" si="25"/>
        <v xml:space="preserve"> </v>
      </c>
      <c r="P84" s="5" t="str">
        <f t="shared" si="26"/>
        <v xml:space="preserve"> </v>
      </c>
      <c r="Q84" s="4">
        <f t="shared" si="27"/>
        <v>0</v>
      </c>
    </row>
    <row r="85" spans="1:17" ht="12" customHeight="1" x14ac:dyDescent="0.25">
      <c r="A85" s="111" t="s">
        <v>6</v>
      </c>
      <c r="B85" s="112"/>
      <c r="C85" s="112"/>
      <c r="D85" s="112"/>
      <c r="E85" s="112"/>
      <c r="F85" s="112"/>
      <c r="G85" s="112"/>
      <c r="H85" s="112"/>
      <c r="I85" s="112"/>
      <c r="J85" s="113"/>
    </row>
    <row r="86" spans="1:17" ht="12" customHeight="1" x14ac:dyDescent="0.25">
      <c r="A86" s="111"/>
      <c r="B86" s="112"/>
      <c r="C86" s="112"/>
      <c r="D86" s="112"/>
      <c r="E86" s="112"/>
      <c r="F86" s="112"/>
      <c r="G86" s="112"/>
      <c r="H86" s="112"/>
      <c r="I86" s="112"/>
      <c r="J86" s="113"/>
    </row>
    <row r="87" spans="1:17" ht="27.75" customHeight="1" x14ac:dyDescent="0.25">
      <c r="A87" s="114" t="s">
        <v>22</v>
      </c>
      <c r="B87" s="115"/>
      <c r="C87" s="115"/>
      <c r="D87" s="115"/>
      <c r="E87" s="115"/>
      <c r="F87" s="115"/>
      <c r="G87" s="115"/>
      <c r="H87" s="115"/>
      <c r="I87" s="115"/>
      <c r="J87" s="116"/>
      <c r="P87" s="1" t="s">
        <v>9</v>
      </c>
      <c r="Q87" s="1">
        <f>SUMPRODUCT(Q13:Q84)</f>
        <v>0</v>
      </c>
    </row>
    <row r="88" spans="1:17" ht="17.25" customHeight="1" x14ac:dyDescent="0.25">
      <c r="A88" s="12" t="s">
        <v>23</v>
      </c>
      <c r="B88" s="13"/>
      <c r="C88" s="13"/>
      <c r="D88" s="13"/>
      <c r="E88" s="13"/>
      <c r="F88" s="13"/>
      <c r="G88" s="13"/>
      <c r="H88" s="13"/>
      <c r="I88" s="13"/>
      <c r="J88" s="14"/>
      <c r="P88" s="1" t="s">
        <v>10</v>
      </c>
      <c r="Q88" s="6" t="e">
        <f>100/Q87</f>
        <v>#DIV/0!</v>
      </c>
    </row>
    <row r="89" spans="1:17" ht="17.25" customHeight="1" x14ac:dyDescent="0.25">
      <c r="A89" s="15" t="s">
        <v>24</v>
      </c>
      <c r="B89" s="16"/>
      <c r="C89" s="16"/>
      <c r="D89" s="16"/>
      <c r="E89" s="16"/>
      <c r="F89" s="16"/>
      <c r="G89" s="16"/>
      <c r="H89" s="16"/>
      <c r="I89" s="16"/>
      <c r="J89" s="17"/>
    </row>
    <row r="90" spans="1:17" ht="17.25" customHeight="1" x14ac:dyDescent="0.25">
      <c r="A90" s="15" t="s">
        <v>25</v>
      </c>
      <c r="B90" s="16"/>
      <c r="C90" s="16"/>
      <c r="D90" s="16"/>
      <c r="E90" s="16"/>
      <c r="F90" s="16"/>
      <c r="G90" s="16"/>
      <c r="H90" s="16"/>
      <c r="I90" s="16"/>
      <c r="J90" s="17"/>
    </row>
    <row r="91" spans="1:17" ht="17.25" customHeight="1" thickBot="1" x14ac:dyDescent="0.3">
      <c r="A91" s="109" t="s">
        <v>16</v>
      </c>
      <c r="B91" s="110"/>
      <c r="C91" s="110"/>
      <c r="D91" s="110"/>
      <c r="E91" s="110"/>
      <c r="F91" s="110"/>
      <c r="G91" s="110"/>
      <c r="H91" s="110"/>
      <c r="I91" s="9">
        <f>SUMPRODUCT(P13:P84)</f>
        <v>0</v>
      </c>
      <c r="J91" s="10" t="s">
        <v>7</v>
      </c>
    </row>
    <row r="92" spans="1:17" ht="17.25" customHeight="1" thickBot="1" x14ac:dyDescent="0.3">
      <c r="A92" s="124" t="s">
        <v>87</v>
      </c>
      <c r="B92" s="125"/>
      <c r="C92" s="125"/>
      <c r="D92" s="126"/>
      <c r="E92" s="127" t="s">
        <v>88</v>
      </c>
      <c r="F92" s="128"/>
      <c r="G92" s="128"/>
      <c r="H92" s="128"/>
      <c r="I92" s="128"/>
      <c r="J92" s="129"/>
    </row>
    <row r="93" spans="1:17" ht="15" customHeight="1" x14ac:dyDescent="0.25">
      <c r="A93" s="94" t="s">
        <v>17</v>
      </c>
      <c r="B93" s="95"/>
      <c r="C93" s="95"/>
      <c r="D93" s="96"/>
      <c r="E93" s="94" t="s">
        <v>18</v>
      </c>
      <c r="F93" s="95"/>
      <c r="G93" s="95"/>
      <c r="H93" s="95"/>
      <c r="I93" s="95"/>
      <c r="J93" s="96"/>
    </row>
    <row r="94" spans="1:17" ht="15" customHeight="1" x14ac:dyDescent="0.25">
      <c r="A94" s="97"/>
      <c r="B94" s="98"/>
      <c r="C94" s="98"/>
      <c r="D94" s="99"/>
      <c r="E94" s="97"/>
      <c r="F94" s="98"/>
      <c r="G94" s="98"/>
      <c r="H94" s="98"/>
      <c r="I94" s="98"/>
      <c r="J94" s="99"/>
    </row>
    <row r="95" spans="1:17" ht="15" customHeight="1" thickBot="1" x14ac:dyDescent="0.3">
      <c r="A95" s="100"/>
      <c r="B95" s="101"/>
      <c r="C95" s="101"/>
      <c r="D95" s="102"/>
      <c r="E95" s="100"/>
      <c r="F95" s="101"/>
      <c r="G95" s="101"/>
      <c r="H95" s="101"/>
      <c r="I95" s="101"/>
      <c r="J95" s="102"/>
    </row>
    <row r="96" spans="1:17" ht="15" customHeight="1" thickBot="1" x14ac:dyDescent="0.3">
      <c r="A96" s="103" t="s">
        <v>20</v>
      </c>
      <c r="B96" s="104"/>
      <c r="C96" s="104"/>
      <c r="D96" s="105"/>
      <c r="E96" s="103" t="s">
        <v>21</v>
      </c>
      <c r="F96" s="104"/>
      <c r="G96" s="104"/>
      <c r="H96" s="104"/>
      <c r="I96" s="104"/>
      <c r="J96" s="105"/>
    </row>
    <row r="97" spans="1:10" ht="15" customHeight="1" thickBot="1" x14ac:dyDescent="0.3">
      <c r="A97" s="103" t="s">
        <v>19</v>
      </c>
      <c r="B97" s="104"/>
      <c r="C97" s="104"/>
      <c r="D97" s="105"/>
      <c r="E97" s="103" t="s">
        <v>19</v>
      </c>
      <c r="F97" s="104"/>
      <c r="G97" s="104"/>
      <c r="H97" s="104"/>
      <c r="I97" s="104"/>
      <c r="J97" s="105"/>
    </row>
  </sheetData>
  <mergeCells count="146">
    <mergeCell ref="G83:I83"/>
    <mergeCell ref="G84:I84"/>
    <mergeCell ref="A59:C59"/>
    <mergeCell ref="A60:C60"/>
    <mergeCell ref="A61:C61"/>
    <mergeCell ref="G59:I59"/>
    <mergeCell ref="G60:I60"/>
    <mergeCell ref="G61:I61"/>
    <mergeCell ref="A62:J62"/>
    <mergeCell ref="A74:J74"/>
    <mergeCell ref="A75:C75"/>
    <mergeCell ref="G75:I75"/>
    <mergeCell ref="A68:C68"/>
    <mergeCell ref="G68:I68"/>
    <mergeCell ref="A69:C69"/>
    <mergeCell ref="A70:C70"/>
    <mergeCell ref="A71:C71"/>
    <mergeCell ref="A72:C72"/>
    <mergeCell ref="A73:C73"/>
    <mergeCell ref="A18:C18"/>
    <mergeCell ref="A19:C19"/>
    <mergeCell ref="A20:C20"/>
    <mergeCell ref="A21:C21"/>
    <mergeCell ref="A22:J22"/>
    <mergeCell ref="A33:C33"/>
    <mergeCell ref="A34:C34"/>
    <mergeCell ref="A35:C35"/>
    <mergeCell ref="A92:D92"/>
    <mergeCell ref="E92:J92"/>
    <mergeCell ref="A67:C67"/>
    <mergeCell ref="G67:I67"/>
    <mergeCell ref="A66:J66"/>
    <mergeCell ref="A64:C64"/>
    <mergeCell ref="G64:I64"/>
    <mergeCell ref="A65:C65"/>
    <mergeCell ref="G65:I65"/>
    <mergeCell ref="G32:I32"/>
    <mergeCell ref="A58:C58"/>
    <mergeCell ref="G58:I58"/>
    <mergeCell ref="A46:C46"/>
    <mergeCell ref="G46:I46"/>
    <mergeCell ref="G54:I54"/>
    <mergeCell ref="G56:I56"/>
    <mergeCell ref="A93:D95"/>
    <mergeCell ref="E93:J95"/>
    <mergeCell ref="E96:J96"/>
    <mergeCell ref="E97:J97"/>
    <mergeCell ref="A96:D96"/>
    <mergeCell ref="A97:D97"/>
    <mergeCell ref="A76:C76"/>
    <mergeCell ref="G76:I76"/>
    <mergeCell ref="A91:H91"/>
    <mergeCell ref="A85:J86"/>
    <mergeCell ref="A87:J87"/>
    <mergeCell ref="A78:J78"/>
    <mergeCell ref="A79:C79"/>
    <mergeCell ref="G79:I79"/>
    <mergeCell ref="A77:C77"/>
    <mergeCell ref="G77:I77"/>
    <mergeCell ref="A80:C80"/>
    <mergeCell ref="A81:C81"/>
    <mergeCell ref="A82:C82"/>
    <mergeCell ref="A83:C83"/>
    <mergeCell ref="A84:C84"/>
    <mergeCell ref="G80:I80"/>
    <mergeCell ref="G81:I81"/>
    <mergeCell ref="G82:I82"/>
    <mergeCell ref="A53:C53"/>
    <mergeCell ref="A57:C57"/>
    <mergeCell ref="G57:I57"/>
    <mergeCell ref="A52:C52"/>
    <mergeCell ref="A54:C54"/>
    <mergeCell ref="A56:C56"/>
    <mergeCell ref="A63:C63"/>
    <mergeCell ref="G63:I63"/>
    <mergeCell ref="G53:I53"/>
    <mergeCell ref="G52:I52"/>
    <mergeCell ref="A55:J55"/>
    <mergeCell ref="A47:J47"/>
    <mergeCell ref="A48:C48"/>
    <mergeCell ref="G48:I48"/>
    <mergeCell ref="A49:C49"/>
    <mergeCell ref="G49:I49"/>
    <mergeCell ref="A50:C50"/>
    <mergeCell ref="G50:I50"/>
    <mergeCell ref="A51:C51"/>
    <mergeCell ref="G51:I51"/>
    <mergeCell ref="A36:C36"/>
    <mergeCell ref="A37:C37"/>
    <mergeCell ref="A41:J41"/>
    <mergeCell ref="A42:C42"/>
    <mergeCell ref="G42:I42"/>
    <mergeCell ref="A44:C44"/>
    <mergeCell ref="G44:I44"/>
    <mergeCell ref="A45:C45"/>
    <mergeCell ref="G45:I45"/>
    <mergeCell ref="A43:C43"/>
    <mergeCell ref="G43:I43"/>
    <mergeCell ref="G11:I11"/>
    <mergeCell ref="G14:I14"/>
    <mergeCell ref="A40:C40"/>
    <mergeCell ref="G40:I40"/>
    <mergeCell ref="A27:C27"/>
    <mergeCell ref="G27:I27"/>
    <mergeCell ref="A38:J38"/>
    <mergeCell ref="A39:C39"/>
    <mergeCell ref="G39:I39"/>
    <mergeCell ref="A24:C24"/>
    <mergeCell ref="G24:I24"/>
    <mergeCell ref="A25:C25"/>
    <mergeCell ref="G25:I25"/>
    <mergeCell ref="A26:C26"/>
    <mergeCell ref="G26:I26"/>
    <mergeCell ref="A28:C28"/>
    <mergeCell ref="G28:I28"/>
    <mergeCell ref="A29:C29"/>
    <mergeCell ref="G29:I29"/>
    <mergeCell ref="A30:C30"/>
    <mergeCell ref="G30:I30"/>
    <mergeCell ref="A31:C31"/>
    <mergeCell ref="G31:I31"/>
    <mergeCell ref="A32:C32"/>
    <mergeCell ref="A13:C13"/>
    <mergeCell ref="G13:I13"/>
    <mergeCell ref="A14:C14"/>
    <mergeCell ref="A12:J12"/>
    <mergeCell ref="A15:C15"/>
    <mergeCell ref="A16:C16"/>
    <mergeCell ref="A17:C17"/>
    <mergeCell ref="A1:J3"/>
    <mergeCell ref="A23:C23"/>
    <mergeCell ref="G23:I23"/>
    <mergeCell ref="A5:B6"/>
    <mergeCell ref="C5:G6"/>
    <mergeCell ref="H5:J6"/>
    <mergeCell ref="A4:B4"/>
    <mergeCell ref="C4:G4"/>
    <mergeCell ref="H4:J4"/>
    <mergeCell ref="A8:B9"/>
    <mergeCell ref="C8:G9"/>
    <mergeCell ref="H8:J9"/>
    <mergeCell ref="A7:B7"/>
    <mergeCell ref="C7:G7"/>
    <mergeCell ref="H7:J7"/>
    <mergeCell ref="A10:J10"/>
    <mergeCell ref="A11:C11"/>
  </mergeCells>
  <dataValidations disablePrompts="1" count="1">
    <dataValidation type="list" allowBlank="1" showDropDown="1" showInputMessage="1" showErrorMessage="1" error="Marcar solo X" sqref="D13:F21 D24:F37 D40:F40 D43:F46 D49:F54 D64:F65 D57:F61 D80:F84 D76:F77" xr:uid="{00000000-0002-0000-0000-000000000000}">
      <formula1>"X"</formula1>
    </dataValidation>
  </dataValidations>
  <printOptions horizontalCentered="1"/>
  <pageMargins left="0.25" right="0.25" top="0.75" bottom="0.75" header="0.3" footer="0.3"/>
  <pageSetup scale="93" orientation="portrait" horizontalDpi="4294967294" r:id="rId1"/>
  <headerFooter>
    <oddFooter>&amp;R&amp;"Tahoma,Negrita Cursiva"&amp;10&amp;K00B0F0"COPIA CONTROLADA"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CONCEPTO SANITARIO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Hernandez Marisiglia</dc:creator>
  <cp:lastModifiedBy>YINA MONTERO</cp:lastModifiedBy>
  <cp:lastPrinted>2022-09-12T02:23:14Z</cp:lastPrinted>
  <dcterms:created xsi:type="dcterms:W3CDTF">2019-12-18T18:31:27Z</dcterms:created>
  <dcterms:modified xsi:type="dcterms:W3CDTF">2026-03-09T23:39:49Z</dcterms:modified>
</cp:coreProperties>
</file>