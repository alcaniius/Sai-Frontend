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 Daniela Sanchez\Dropbox\Salud Ambiental\Oficios\CIRCULAR\"/>
    </mc:Choice>
  </mc:AlternateContent>
  <xr:revisionPtr revIDLastSave="0" documentId="13_ncr:1_{4015B55D-CDF3-49EF-B811-B5C8BEBBCA65}" xr6:coauthVersionLast="47" xr6:coauthVersionMax="47" xr10:uidLastSave="{00000000-0000-0000-0000-000000000000}"/>
  <bookViews>
    <workbookView xWindow="-120" yWindow="-120" windowWidth="20730" windowHeight="11160" tabRatio="789" xr2:uid="{00000000-000D-0000-FFFF-FFFF00000000}"/>
  </bookViews>
  <sheets>
    <sheet name="ENERO" sheetId="12" r:id="rId1"/>
    <sheet name="FEBRERO" sheetId="24" r:id="rId2"/>
    <sheet name="MARZO" sheetId="25" r:id="rId3"/>
    <sheet name="ABRIL" sheetId="26" r:id="rId4"/>
    <sheet name="MAYO" sheetId="27" r:id="rId5"/>
    <sheet name="JUNIO" sheetId="28" r:id="rId6"/>
    <sheet name="JULIO" sheetId="29" r:id="rId7"/>
    <sheet name="AGOSTO" sheetId="30" r:id="rId8"/>
    <sheet name="SEPTIEMBRE" sheetId="31" r:id="rId9"/>
    <sheet name="OCTUBRE" sheetId="32" r:id="rId10"/>
    <sheet name="NOVIEMBRE" sheetId="33" r:id="rId11"/>
    <sheet name="DICIEMBRE" sheetId="34" r:id="rId12"/>
    <sheet name="CONSOLIDADO RESIDUOS" sheetId="11" r:id="rId13"/>
    <sheet name="Instructivo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1" l="1"/>
  <c r="F42" i="11"/>
  <c r="N42" i="11" s="1"/>
  <c r="F43" i="11"/>
  <c r="N43" i="11" s="1"/>
  <c r="F44" i="11"/>
  <c r="N44" i="11" s="1"/>
  <c r="K51" i="11"/>
  <c r="L51" i="11"/>
  <c r="M51" i="11"/>
  <c r="N51" i="11"/>
  <c r="K50" i="11"/>
  <c r="L50" i="11"/>
  <c r="M50" i="11"/>
  <c r="N50" i="11"/>
  <c r="K49" i="11"/>
  <c r="L49" i="11"/>
  <c r="M49" i="11"/>
  <c r="N49" i="11"/>
  <c r="K48" i="11"/>
  <c r="L48" i="11"/>
  <c r="M48" i="11"/>
  <c r="N48" i="11"/>
  <c r="K47" i="11"/>
  <c r="L47" i="11"/>
  <c r="M47" i="11"/>
  <c r="N47" i="11"/>
  <c r="K46" i="11"/>
  <c r="L46" i="11"/>
  <c r="M46" i="11"/>
  <c r="N46" i="11"/>
  <c r="K45" i="11"/>
  <c r="L45" i="11"/>
  <c r="M45" i="11"/>
  <c r="N45" i="11"/>
  <c r="K44" i="11"/>
  <c r="L44" i="11"/>
  <c r="M44" i="11"/>
  <c r="K43" i="11"/>
  <c r="L43" i="11"/>
  <c r="M43" i="11"/>
  <c r="J51" i="11"/>
  <c r="J50" i="11"/>
  <c r="J49" i="11"/>
  <c r="J48" i="11"/>
  <c r="J47" i="11"/>
  <c r="J46" i="11"/>
  <c r="J45" i="11"/>
  <c r="J44" i="11"/>
  <c r="J43" i="11"/>
  <c r="N70" i="34"/>
  <c r="M70" i="34"/>
  <c r="L70" i="34"/>
  <c r="K70" i="34"/>
  <c r="J70" i="34"/>
  <c r="N69" i="34"/>
  <c r="M69" i="34"/>
  <c r="L69" i="34"/>
  <c r="K69" i="34"/>
  <c r="J69" i="34"/>
  <c r="N68" i="34"/>
  <c r="M68" i="34"/>
  <c r="L68" i="34"/>
  <c r="K68" i="34"/>
  <c r="O68" i="34" s="1"/>
  <c r="J68" i="34"/>
  <c r="N67" i="34"/>
  <c r="M67" i="34"/>
  <c r="L67" i="34"/>
  <c r="O67" i="34" s="1"/>
  <c r="K67" i="34"/>
  <c r="J67" i="34"/>
  <c r="N66" i="34"/>
  <c r="M66" i="34"/>
  <c r="O66" i="34" s="1"/>
  <c r="L66" i="34"/>
  <c r="K66" i="34"/>
  <c r="J66" i="34"/>
  <c r="N65" i="34"/>
  <c r="M65" i="34"/>
  <c r="L65" i="34"/>
  <c r="K65" i="34"/>
  <c r="J65" i="34"/>
  <c r="N64" i="34"/>
  <c r="M64" i="34"/>
  <c r="L64" i="34"/>
  <c r="K64" i="34"/>
  <c r="O64" i="34" s="1"/>
  <c r="J64" i="34"/>
  <c r="N63" i="34"/>
  <c r="M63" i="34"/>
  <c r="L63" i="34"/>
  <c r="O63" i="34" s="1"/>
  <c r="K63" i="34"/>
  <c r="J63" i="34"/>
  <c r="N62" i="34"/>
  <c r="M62" i="34"/>
  <c r="O62" i="34" s="1"/>
  <c r="L62" i="34"/>
  <c r="K62" i="34"/>
  <c r="J62" i="34"/>
  <c r="N61" i="34"/>
  <c r="N69" i="33"/>
  <c r="M69" i="33"/>
  <c r="L69" i="33"/>
  <c r="O69" i="33" s="1"/>
  <c r="K69" i="33"/>
  <c r="J69" i="33"/>
  <c r="J70" i="33"/>
  <c r="N68" i="33"/>
  <c r="M68" i="33"/>
  <c r="L68" i="33"/>
  <c r="K68" i="33"/>
  <c r="O68" i="33" s="1"/>
  <c r="J68" i="33"/>
  <c r="N67" i="33"/>
  <c r="M67" i="33"/>
  <c r="L67" i="33"/>
  <c r="O67" i="33" s="1"/>
  <c r="K67" i="33"/>
  <c r="J67" i="33"/>
  <c r="N66" i="33"/>
  <c r="M66" i="33"/>
  <c r="L66" i="33"/>
  <c r="K66" i="33"/>
  <c r="J66" i="33"/>
  <c r="N65" i="33"/>
  <c r="M65" i="33"/>
  <c r="L65" i="33"/>
  <c r="K65" i="33"/>
  <c r="J65" i="33"/>
  <c r="O65" i="33" s="1"/>
  <c r="N64" i="33"/>
  <c r="M64" i="33"/>
  <c r="L64" i="33"/>
  <c r="K64" i="33"/>
  <c r="O64" i="33" s="1"/>
  <c r="J64" i="33"/>
  <c r="N63" i="33"/>
  <c r="M63" i="33"/>
  <c r="L63" i="33"/>
  <c r="O63" i="33" s="1"/>
  <c r="K63" i="33"/>
  <c r="J63" i="33"/>
  <c r="N62" i="33"/>
  <c r="M62" i="33"/>
  <c r="L62" i="33"/>
  <c r="K62" i="33"/>
  <c r="J62" i="33"/>
  <c r="N61" i="33"/>
  <c r="N68" i="32"/>
  <c r="M68" i="32"/>
  <c r="L68" i="32"/>
  <c r="K68" i="32"/>
  <c r="J68" i="32"/>
  <c r="J69" i="32"/>
  <c r="N67" i="32"/>
  <c r="M67" i="32"/>
  <c r="L67" i="32"/>
  <c r="K67" i="32"/>
  <c r="J67" i="32"/>
  <c r="N66" i="32"/>
  <c r="M66" i="32"/>
  <c r="L66" i="32"/>
  <c r="K66" i="32"/>
  <c r="J66" i="32"/>
  <c r="N65" i="32"/>
  <c r="M65" i="32"/>
  <c r="L65" i="32"/>
  <c r="K65" i="32"/>
  <c r="J65" i="32"/>
  <c r="N64" i="32"/>
  <c r="M64" i="32"/>
  <c r="L64" i="32"/>
  <c r="K64" i="32"/>
  <c r="J64" i="32"/>
  <c r="N63" i="32"/>
  <c r="M63" i="32"/>
  <c r="L63" i="32"/>
  <c r="K63" i="32"/>
  <c r="J63" i="32"/>
  <c r="N62" i="32"/>
  <c r="M62" i="32"/>
  <c r="L62" i="32"/>
  <c r="K62" i="32"/>
  <c r="J62" i="32"/>
  <c r="N61" i="32"/>
  <c r="J68" i="31"/>
  <c r="N67" i="31"/>
  <c r="M67" i="31"/>
  <c r="L67" i="31"/>
  <c r="K67" i="31"/>
  <c r="J67" i="31"/>
  <c r="N66" i="31"/>
  <c r="M66" i="31"/>
  <c r="L66" i="31"/>
  <c r="K66" i="31"/>
  <c r="O66" i="31" s="1"/>
  <c r="J66" i="31"/>
  <c r="N65" i="31"/>
  <c r="M65" i="31"/>
  <c r="L65" i="31"/>
  <c r="O65" i="31" s="1"/>
  <c r="K65" i="31"/>
  <c r="J65" i="31"/>
  <c r="N64" i="31"/>
  <c r="M64" i="31"/>
  <c r="L64" i="31"/>
  <c r="K64" i="31"/>
  <c r="J64" i="31"/>
  <c r="N63" i="31"/>
  <c r="M63" i="31"/>
  <c r="L63" i="31"/>
  <c r="K63" i="31"/>
  <c r="J63" i="31"/>
  <c r="O63" i="31" s="1"/>
  <c r="N62" i="31"/>
  <c r="M62" i="31"/>
  <c r="L62" i="31"/>
  <c r="K62" i="31"/>
  <c r="O62" i="31" s="1"/>
  <c r="J62" i="31"/>
  <c r="N61" i="31"/>
  <c r="N66" i="30"/>
  <c r="O66" i="30" s="1"/>
  <c r="M66" i="30"/>
  <c r="L66" i="30"/>
  <c r="K66" i="30"/>
  <c r="J66" i="30"/>
  <c r="J67" i="30"/>
  <c r="N65" i="30"/>
  <c r="M65" i="30"/>
  <c r="L65" i="30"/>
  <c r="K65" i="30"/>
  <c r="O65" i="30" s="1"/>
  <c r="J65" i="30"/>
  <c r="N64" i="30"/>
  <c r="M64" i="30"/>
  <c r="L64" i="30"/>
  <c r="K64" i="30"/>
  <c r="J64" i="30"/>
  <c r="N63" i="30"/>
  <c r="M63" i="30"/>
  <c r="O63" i="30" s="1"/>
  <c r="L63" i="30"/>
  <c r="K63" i="30"/>
  <c r="J63" i="30"/>
  <c r="N62" i="30"/>
  <c r="M62" i="30"/>
  <c r="L62" i="30"/>
  <c r="K62" i="30"/>
  <c r="J62" i="30"/>
  <c r="O62" i="30" s="1"/>
  <c r="N61" i="30"/>
  <c r="N65" i="29"/>
  <c r="O65" i="29" s="1"/>
  <c r="M65" i="29"/>
  <c r="L65" i="29"/>
  <c r="K65" i="29"/>
  <c r="J65" i="29"/>
  <c r="J66" i="29"/>
  <c r="N64" i="29"/>
  <c r="M64" i="29"/>
  <c r="L64" i="29"/>
  <c r="K64" i="29"/>
  <c r="O64" i="29" s="1"/>
  <c r="J64" i="29"/>
  <c r="N63" i="29"/>
  <c r="M63" i="29"/>
  <c r="L63" i="29"/>
  <c r="O63" i="29" s="1"/>
  <c r="K63" i="29"/>
  <c r="J63" i="29"/>
  <c r="N62" i="29"/>
  <c r="M62" i="29"/>
  <c r="O62" i="29" s="1"/>
  <c r="L62" i="29"/>
  <c r="K62" i="29"/>
  <c r="J62" i="29"/>
  <c r="N61" i="29"/>
  <c r="N64" i="28"/>
  <c r="O64" i="28" s="1"/>
  <c r="M64" i="28"/>
  <c r="L64" i="28"/>
  <c r="K64" i="28"/>
  <c r="J64" i="28"/>
  <c r="N63" i="28"/>
  <c r="M63" i="28"/>
  <c r="L63" i="28"/>
  <c r="K63" i="28"/>
  <c r="J63" i="28"/>
  <c r="N62" i="28"/>
  <c r="M62" i="28"/>
  <c r="L62" i="28"/>
  <c r="K62" i="28"/>
  <c r="J62" i="28"/>
  <c r="N61" i="28"/>
  <c r="N63" i="27"/>
  <c r="M63" i="27"/>
  <c r="L63" i="27"/>
  <c r="K63" i="27"/>
  <c r="J63" i="27"/>
  <c r="N62" i="27"/>
  <c r="M62" i="27"/>
  <c r="L62" i="27"/>
  <c r="K62" i="27"/>
  <c r="J62" i="27"/>
  <c r="N61" i="27"/>
  <c r="N62" i="26"/>
  <c r="M62" i="26"/>
  <c r="L62" i="26"/>
  <c r="K62" i="26"/>
  <c r="J62" i="26"/>
  <c r="N61" i="26"/>
  <c r="N61" i="25"/>
  <c r="J61" i="24"/>
  <c r="J65" i="28"/>
  <c r="J64" i="27"/>
  <c r="J63" i="26"/>
  <c r="J62" i="25"/>
  <c r="F50" i="11"/>
  <c r="O65" i="34"/>
  <c r="O69" i="34"/>
  <c r="O70" i="34"/>
  <c r="O62" i="33"/>
  <c r="O66" i="33"/>
  <c r="O70" i="33"/>
  <c r="O68" i="31"/>
  <c r="O64" i="31"/>
  <c r="O64" i="30"/>
  <c r="O67" i="30"/>
  <c r="O66" i="29"/>
  <c r="O62" i="28"/>
  <c r="O63" i="28"/>
  <c r="O65" i="28"/>
  <c r="O64" i="27"/>
  <c r="O62" i="27"/>
  <c r="O63" i="27"/>
  <c r="F62" i="26"/>
  <c r="O63" i="26"/>
  <c r="F61" i="25"/>
  <c r="O67" i="31" l="1"/>
  <c r="F51" i="11"/>
  <c r="E51" i="11"/>
  <c r="D51" i="11"/>
  <c r="C51" i="11"/>
  <c r="G51" i="11" s="1"/>
  <c r="B51" i="11"/>
  <c r="E50" i="11"/>
  <c r="D50" i="11"/>
  <c r="C50" i="11"/>
  <c r="B50" i="11"/>
  <c r="F49" i="11"/>
  <c r="E49" i="11"/>
  <c r="D49" i="11"/>
  <c r="C49" i="11"/>
  <c r="B49" i="11"/>
  <c r="G49" i="11" s="1"/>
  <c r="F48" i="11"/>
  <c r="E48" i="11"/>
  <c r="D48" i="11"/>
  <c r="C48" i="11"/>
  <c r="B48" i="11"/>
  <c r="G48" i="11" s="1"/>
  <c r="F47" i="11"/>
  <c r="E47" i="11"/>
  <c r="D47" i="11"/>
  <c r="C47" i="11"/>
  <c r="G47" i="11" s="1"/>
  <c r="B47" i="11"/>
  <c r="F46" i="11"/>
  <c r="E46" i="11"/>
  <c r="D46" i="11"/>
  <c r="C46" i="11"/>
  <c r="B46" i="11"/>
  <c r="F45" i="11"/>
  <c r="E45" i="11"/>
  <c r="D45" i="11"/>
  <c r="C45" i="11"/>
  <c r="B45" i="11"/>
  <c r="E44" i="11"/>
  <c r="D44" i="11"/>
  <c r="C44" i="11"/>
  <c r="B44" i="11"/>
  <c r="G44" i="11" s="1"/>
  <c r="E43" i="11"/>
  <c r="D43" i="11"/>
  <c r="C43" i="11"/>
  <c r="G43" i="11" s="1"/>
  <c r="B43" i="11"/>
  <c r="E42" i="11"/>
  <c r="M42" i="11" s="1"/>
  <c r="D42" i="11"/>
  <c r="L42" i="11" s="1"/>
  <c r="C42" i="11"/>
  <c r="K42" i="11" s="1"/>
  <c r="B42" i="11"/>
  <c r="J42" i="11" s="1"/>
  <c r="E41" i="11"/>
  <c r="D41" i="11"/>
  <c r="C41" i="11"/>
  <c r="B41" i="11"/>
  <c r="F70" i="34"/>
  <c r="F69" i="34"/>
  <c r="F68" i="34"/>
  <c r="F67" i="34"/>
  <c r="F66" i="34"/>
  <c r="F65" i="34"/>
  <c r="F64" i="34"/>
  <c r="F63" i="34"/>
  <c r="F62" i="34"/>
  <c r="G62" i="34" s="1"/>
  <c r="F61" i="34"/>
  <c r="F60" i="34"/>
  <c r="E70" i="34"/>
  <c r="E69" i="34"/>
  <c r="E68" i="34"/>
  <c r="E67" i="34"/>
  <c r="E66" i="34"/>
  <c r="E65" i="34"/>
  <c r="E64" i="34"/>
  <c r="E63" i="34"/>
  <c r="E62" i="34"/>
  <c r="E61" i="34"/>
  <c r="M61" i="34" s="1"/>
  <c r="E60" i="34"/>
  <c r="D70" i="34"/>
  <c r="D69" i="34"/>
  <c r="D68" i="34"/>
  <c r="D67" i="34"/>
  <c r="D66" i="34"/>
  <c r="D65" i="34"/>
  <c r="D64" i="34"/>
  <c r="D63" i="34"/>
  <c r="D62" i="34"/>
  <c r="D61" i="34"/>
  <c r="L61" i="34" s="1"/>
  <c r="D60" i="34"/>
  <c r="C70" i="34"/>
  <c r="C69" i="34"/>
  <c r="C68" i="34"/>
  <c r="C67" i="34"/>
  <c r="C66" i="34"/>
  <c r="C65" i="34"/>
  <c r="C64" i="34"/>
  <c r="C63" i="34"/>
  <c r="C62" i="34"/>
  <c r="C61" i="34"/>
  <c r="K61" i="34" s="1"/>
  <c r="C60" i="34"/>
  <c r="B70" i="34"/>
  <c r="B69" i="34"/>
  <c r="B68" i="34"/>
  <c r="B67" i="34"/>
  <c r="B66" i="34"/>
  <c r="B65" i="34"/>
  <c r="B64" i="34"/>
  <c r="B63" i="34"/>
  <c r="B62" i="34"/>
  <c r="B61" i="34"/>
  <c r="J61" i="34" s="1"/>
  <c r="B60" i="34"/>
  <c r="F52" i="11"/>
  <c r="E52" i="11"/>
  <c r="D52" i="11"/>
  <c r="C52" i="11"/>
  <c r="B52" i="11"/>
  <c r="G50" i="11"/>
  <c r="G46" i="11"/>
  <c r="C31" i="11"/>
  <c r="D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B30" i="11"/>
  <c r="C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B29" i="11"/>
  <c r="D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B28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B27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B26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B25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B24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B23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B22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B21" i="11"/>
  <c r="G45" i="11"/>
  <c r="G70" i="34"/>
  <c r="G69" i="34"/>
  <c r="G67" i="34"/>
  <c r="G66" i="34"/>
  <c r="G65" i="34"/>
  <c r="G63" i="34"/>
  <c r="C69" i="33"/>
  <c r="D69" i="33"/>
  <c r="G69" i="33" s="1"/>
  <c r="E69" i="33"/>
  <c r="F69" i="33"/>
  <c r="B69" i="33"/>
  <c r="F68" i="33"/>
  <c r="E68" i="33"/>
  <c r="D68" i="33"/>
  <c r="C68" i="33"/>
  <c r="G68" i="33" s="1"/>
  <c r="B68" i="33"/>
  <c r="F67" i="33"/>
  <c r="E67" i="33"/>
  <c r="D67" i="33"/>
  <c r="G67" i="33" s="1"/>
  <c r="C67" i="33"/>
  <c r="B67" i="33"/>
  <c r="F66" i="33"/>
  <c r="E66" i="33"/>
  <c r="G66" i="33" s="1"/>
  <c r="D66" i="33"/>
  <c r="C66" i="33"/>
  <c r="B66" i="33"/>
  <c r="F65" i="33"/>
  <c r="E65" i="33"/>
  <c r="D65" i="33"/>
  <c r="C65" i="33"/>
  <c r="B65" i="33"/>
  <c r="F64" i="33"/>
  <c r="E64" i="33"/>
  <c r="D64" i="33"/>
  <c r="C64" i="33"/>
  <c r="G64" i="33" s="1"/>
  <c r="B64" i="33"/>
  <c r="F63" i="33"/>
  <c r="E63" i="33"/>
  <c r="D63" i="33"/>
  <c r="G63" i="33" s="1"/>
  <c r="C63" i="33"/>
  <c r="B63" i="33"/>
  <c r="F62" i="33"/>
  <c r="E62" i="33"/>
  <c r="D62" i="33"/>
  <c r="C62" i="33"/>
  <c r="B62" i="33"/>
  <c r="F61" i="33"/>
  <c r="E61" i="33"/>
  <c r="M61" i="33" s="1"/>
  <c r="D61" i="33"/>
  <c r="L61" i="33" s="1"/>
  <c r="C61" i="33"/>
  <c r="K61" i="33" s="1"/>
  <c r="B61" i="33"/>
  <c r="J61" i="33" s="1"/>
  <c r="F60" i="33"/>
  <c r="E60" i="33"/>
  <c r="D60" i="33"/>
  <c r="C60" i="33"/>
  <c r="B60" i="33"/>
  <c r="C68" i="32"/>
  <c r="D68" i="32"/>
  <c r="E68" i="32"/>
  <c r="F68" i="32"/>
  <c r="G68" i="32" s="1"/>
  <c r="B68" i="32"/>
  <c r="F67" i="32"/>
  <c r="E67" i="32"/>
  <c r="D67" i="32"/>
  <c r="C67" i="32"/>
  <c r="G67" i="32" s="1"/>
  <c r="B67" i="32"/>
  <c r="F66" i="32"/>
  <c r="E66" i="32"/>
  <c r="D66" i="32"/>
  <c r="C66" i="32"/>
  <c r="B66" i="32"/>
  <c r="F65" i="32"/>
  <c r="E65" i="32"/>
  <c r="D65" i="32"/>
  <c r="C65" i="32"/>
  <c r="B65" i="32"/>
  <c r="G65" i="32" s="1"/>
  <c r="F64" i="32"/>
  <c r="E64" i="32"/>
  <c r="D64" i="32"/>
  <c r="C64" i="32"/>
  <c r="B64" i="32"/>
  <c r="G64" i="32" s="1"/>
  <c r="F63" i="32"/>
  <c r="E63" i="32"/>
  <c r="D63" i="32"/>
  <c r="C63" i="32"/>
  <c r="G63" i="32" s="1"/>
  <c r="B63" i="32"/>
  <c r="F62" i="32"/>
  <c r="G62" i="32" s="1"/>
  <c r="E62" i="32"/>
  <c r="D62" i="32"/>
  <c r="C62" i="32"/>
  <c r="B62" i="32"/>
  <c r="F61" i="32"/>
  <c r="E61" i="32"/>
  <c r="M61" i="32" s="1"/>
  <c r="D61" i="32"/>
  <c r="L61" i="32" s="1"/>
  <c r="C61" i="32"/>
  <c r="K61" i="32" s="1"/>
  <c r="B61" i="32"/>
  <c r="J61" i="32" s="1"/>
  <c r="F60" i="32"/>
  <c r="E60" i="32"/>
  <c r="D60" i="32"/>
  <c r="C60" i="32"/>
  <c r="B60" i="32"/>
  <c r="C67" i="31"/>
  <c r="D67" i="31"/>
  <c r="G67" i="31" s="1"/>
  <c r="E67" i="31"/>
  <c r="F67" i="31"/>
  <c r="B67" i="31"/>
  <c r="F66" i="31"/>
  <c r="E66" i="31"/>
  <c r="D66" i="31"/>
  <c r="C66" i="31"/>
  <c r="G66" i="31" s="1"/>
  <c r="B66" i="31"/>
  <c r="F65" i="31"/>
  <c r="E65" i="31"/>
  <c r="D65" i="31"/>
  <c r="G65" i="31" s="1"/>
  <c r="C65" i="31"/>
  <c r="B65" i="31"/>
  <c r="F64" i="31"/>
  <c r="E64" i="31"/>
  <c r="G64" i="31" s="1"/>
  <c r="D64" i="31"/>
  <c r="C64" i="31"/>
  <c r="B64" i="31"/>
  <c r="F63" i="31"/>
  <c r="E63" i="31"/>
  <c r="D63" i="31"/>
  <c r="C63" i="31"/>
  <c r="B63" i="31"/>
  <c r="F62" i="31"/>
  <c r="E62" i="31"/>
  <c r="D62" i="31"/>
  <c r="C62" i="31"/>
  <c r="B62" i="31"/>
  <c r="F61" i="31"/>
  <c r="E61" i="31"/>
  <c r="M61" i="31" s="1"/>
  <c r="D61" i="31"/>
  <c r="L61" i="31" s="1"/>
  <c r="C61" i="31"/>
  <c r="K61" i="31" s="1"/>
  <c r="B61" i="31"/>
  <c r="J61" i="31" s="1"/>
  <c r="F60" i="31"/>
  <c r="E60" i="31"/>
  <c r="D60" i="31"/>
  <c r="C60" i="31"/>
  <c r="B60" i="31"/>
  <c r="C66" i="30"/>
  <c r="D66" i="30"/>
  <c r="E66" i="30"/>
  <c r="F66" i="30"/>
  <c r="B66" i="30"/>
  <c r="F65" i="30"/>
  <c r="E65" i="30"/>
  <c r="D65" i="30"/>
  <c r="C65" i="30"/>
  <c r="B65" i="30"/>
  <c r="F64" i="30"/>
  <c r="E64" i="30"/>
  <c r="D64" i="30"/>
  <c r="C64" i="30"/>
  <c r="B64" i="30"/>
  <c r="F63" i="30"/>
  <c r="E63" i="30"/>
  <c r="G63" i="30" s="1"/>
  <c r="D63" i="30"/>
  <c r="C63" i="30"/>
  <c r="B63" i="30"/>
  <c r="F62" i="30"/>
  <c r="E62" i="30"/>
  <c r="D62" i="30"/>
  <c r="C62" i="30"/>
  <c r="B62" i="30"/>
  <c r="G62" i="30" s="1"/>
  <c r="F61" i="30"/>
  <c r="E61" i="30"/>
  <c r="M61" i="30" s="1"/>
  <c r="D61" i="30"/>
  <c r="L61" i="30" s="1"/>
  <c r="C61" i="30"/>
  <c r="K61" i="30" s="1"/>
  <c r="B61" i="30"/>
  <c r="J61" i="30" s="1"/>
  <c r="F60" i="30"/>
  <c r="E60" i="30"/>
  <c r="D60" i="30"/>
  <c r="C60" i="30"/>
  <c r="B60" i="30"/>
  <c r="C65" i="29"/>
  <c r="D65" i="29"/>
  <c r="E65" i="29"/>
  <c r="G65" i="29" s="1"/>
  <c r="F65" i="29"/>
  <c r="B65" i="29"/>
  <c r="F64" i="29"/>
  <c r="E64" i="29"/>
  <c r="D64" i="29"/>
  <c r="C64" i="29"/>
  <c r="G64" i="29" s="1"/>
  <c r="B64" i="29"/>
  <c r="F63" i="29"/>
  <c r="E63" i="29"/>
  <c r="D63" i="29"/>
  <c r="G63" i="29" s="1"/>
  <c r="C63" i="29"/>
  <c r="B63" i="29"/>
  <c r="F62" i="29"/>
  <c r="G62" i="29" s="1"/>
  <c r="E62" i="29"/>
  <c r="D62" i="29"/>
  <c r="C62" i="29"/>
  <c r="B62" i="29"/>
  <c r="F61" i="29"/>
  <c r="E61" i="29"/>
  <c r="M61" i="29" s="1"/>
  <c r="D61" i="29"/>
  <c r="L61" i="29" s="1"/>
  <c r="C61" i="29"/>
  <c r="K61" i="29" s="1"/>
  <c r="B61" i="29"/>
  <c r="F60" i="29"/>
  <c r="E60" i="29"/>
  <c r="D60" i="29"/>
  <c r="C60" i="29"/>
  <c r="B60" i="29"/>
  <c r="C64" i="28"/>
  <c r="D64" i="28"/>
  <c r="E64" i="28"/>
  <c r="F64" i="28"/>
  <c r="B64" i="28"/>
  <c r="F63" i="28"/>
  <c r="E63" i="28"/>
  <c r="G63" i="28" s="1"/>
  <c r="D63" i="28"/>
  <c r="C63" i="28"/>
  <c r="B63" i="28"/>
  <c r="F62" i="28"/>
  <c r="E62" i="28"/>
  <c r="D62" i="28"/>
  <c r="C62" i="28"/>
  <c r="B62" i="28"/>
  <c r="G62" i="28" s="1"/>
  <c r="F61" i="28"/>
  <c r="E61" i="28"/>
  <c r="M61" i="28" s="1"/>
  <c r="D61" i="28"/>
  <c r="C61" i="28"/>
  <c r="K61" i="28" s="1"/>
  <c r="B61" i="28"/>
  <c r="J61" i="28" s="1"/>
  <c r="F60" i="28"/>
  <c r="E60" i="28"/>
  <c r="D60" i="28"/>
  <c r="C60" i="28"/>
  <c r="B60" i="28"/>
  <c r="C63" i="27"/>
  <c r="D63" i="27"/>
  <c r="E63" i="27"/>
  <c r="G63" i="27" s="1"/>
  <c r="F63" i="27"/>
  <c r="B63" i="27"/>
  <c r="F62" i="27"/>
  <c r="E62" i="27"/>
  <c r="D62" i="27"/>
  <c r="C62" i="27"/>
  <c r="B62" i="27"/>
  <c r="G62" i="27" s="1"/>
  <c r="F61" i="27"/>
  <c r="E61" i="27"/>
  <c r="M61" i="27" s="1"/>
  <c r="D61" i="27"/>
  <c r="L61" i="27" s="1"/>
  <c r="C61" i="27"/>
  <c r="K61" i="27" s="1"/>
  <c r="B61" i="27"/>
  <c r="J61" i="27" s="1"/>
  <c r="F60" i="27"/>
  <c r="E60" i="27"/>
  <c r="D60" i="27"/>
  <c r="C60" i="27"/>
  <c r="B60" i="27"/>
  <c r="C62" i="26"/>
  <c r="D62" i="26"/>
  <c r="E62" i="26"/>
  <c r="G62" i="26"/>
  <c r="B62" i="26"/>
  <c r="F61" i="26"/>
  <c r="E61" i="26"/>
  <c r="M61" i="26" s="1"/>
  <c r="D61" i="26"/>
  <c r="L61" i="26" s="1"/>
  <c r="C61" i="26"/>
  <c r="K61" i="26" s="1"/>
  <c r="B61" i="26"/>
  <c r="J61" i="26" s="1"/>
  <c r="F60" i="26"/>
  <c r="E60" i="26"/>
  <c r="D60" i="26"/>
  <c r="C60" i="26"/>
  <c r="B60" i="26"/>
  <c r="D61" i="25"/>
  <c r="L61" i="25" s="1"/>
  <c r="E61" i="25"/>
  <c r="M61" i="25" s="1"/>
  <c r="C61" i="25"/>
  <c r="B61" i="25"/>
  <c r="J61" i="25" s="1"/>
  <c r="F60" i="25"/>
  <c r="E60" i="25"/>
  <c r="D60" i="25"/>
  <c r="C60" i="25"/>
  <c r="B60" i="25"/>
  <c r="C60" i="24"/>
  <c r="D60" i="24"/>
  <c r="E60" i="24"/>
  <c r="F60" i="24"/>
  <c r="B60" i="24"/>
  <c r="G62" i="25"/>
  <c r="G71" i="34"/>
  <c r="G68" i="34"/>
  <c r="G64" i="34"/>
  <c r="O51" i="34"/>
  <c r="N51" i="34"/>
  <c r="M51" i="34"/>
  <c r="L51" i="34"/>
  <c r="K51" i="34"/>
  <c r="I51" i="34"/>
  <c r="H51" i="34"/>
  <c r="G51" i="34"/>
  <c r="F51" i="34"/>
  <c r="D51" i="34"/>
  <c r="C51" i="34"/>
  <c r="B51" i="34"/>
  <c r="B31" i="11" s="1"/>
  <c r="P50" i="34"/>
  <c r="Q50" i="34" s="1"/>
  <c r="J50" i="34"/>
  <c r="E50" i="34"/>
  <c r="R50" i="34" s="1"/>
  <c r="Q49" i="34"/>
  <c r="P49" i="34"/>
  <c r="J49" i="34"/>
  <c r="E49" i="34"/>
  <c r="R49" i="34" s="1"/>
  <c r="P48" i="34"/>
  <c r="J48" i="34"/>
  <c r="Q48" i="34" s="1"/>
  <c r="E48" i="34"/>
  <c r="R48" i="34" s="1"/>
  <c r="P47" i="34"/>
  <c r="J47" i="34"/>
  <c r="Q47" i="34" s="1"/>
  <c r="E47" i="34"/>
  <c r="R47" i="34" s="1"/>
  <c r="P46" i="34"/>
  <c r="Q46" i="34" s="1"/>
  <c r="J46" i="34"/>
  <c r="E46" i="34"/>
  <c r="R46" i="34" s="1"/>
  <c r="Q45" i="34"/>
  <c r="P45" i="34"/>
  <c r="J45" i="34"/>
  <c r="E45" i="34"/>
  <c r="R45" i="34" s="1"/>
  <c r="P44" i="34"/>
  <c r="J44" i="34"/>
  <c r="Q44" i="34" s="1"/>
  <c r="E44" i="34"/>
  <c r="R44" i="34" s="1"/>
  <c r="P43" i="34"/>
  <c r="J43" i="34"/>
  <c r="Q43" i="34" s="1"/>
  <c r="E43" i="34"/>
  <c r="R43" i="34" s="1"/>
  <c r="P42" i="34"/>
  <c r="Q42" i="34" s="1"/>
  <c r="J42" i="34"/>
  <c r="E42" i="34"/>
  <c r="R42" i="34" s="1"/>
  <c r="Q41" i="34"/>
  <c r="P41" i="34"/>
  <c r="J41" i="34"/>
  <c r="E41" i="34"/>
  <c r="R41" i="34" s="1"/>
  <c r="P40" i="34"/>
  <c r="J40" i="34"/>
  <c r="Q40" i="34" s="1"/>
  <c r="E40" i="34"/>
  <c r="R40" i="34" s="1"/>
  <c r="P39" i="34"/>
  <c r="J39" i="34"/>
  <c r="Q39" i="34" s="1"/>
  <c r="E39" i="34"/>
  <c r="R39" i="34" s="1"/>
  <c r="P38" i="34"/>
  <c r="Q38" i="34" s="1"/>
  <c r="J38" i="34"/>
  <c r="E38" i="34"/>
  <c r="R38" i="34" s="1"/>
  <c r="Q37" i="34"/>
  <c r="P37" i="34"/>
  <c r="J37" i="34"/>
  <c r="E37" i="34"/>
  <c r="R37" i="34" s="1"/>
  <c r="P36" i="34"/>
  <c r="J36" i="34"/>
  <c r="Q36" i="34" s="1"/>
  <c r="E36" i="34"/>
  <c r="R36" i="34" s="1"/>
  <c r="P35" i="34"/>
  <c r="J35" i="34"/>
  <c r="Q35" i="34" s="1"/>
  <c r="E35" i="34"/>
  <c r="R35" i="34" s="1"/>
  <c r="P34" i="34"/>
  <c r="Q34" i="34" s="1"/>
  <c r="J34" i="34"/>
  <c r="E34" i="34"/>
  <c r="R34" i="34" s="1"/>
  <c r="Q33" i="34"/>
  <c r="P33" i="34"/>
  <c r="J33" i="34"/>
  <c r="E33" i="34"/>
  <c r="R33" i="34" s="1"/>
  <c r="P32" i="34"/>
  <c r="J32" i="34"/>
  <c r="Q32" i="34" s="1"/>
  <c r="E32" i="34"/>
  <c r="R32" i="34" s="1"/>
  <c r="P31" i="34"/>
  <c r="J31" i="34"/>
  <c r="Q31" i="34" s="1"/>
  <c r="E31" i="34"/>
  <c r="R31" i="34" s="1"/>
  <c r="P30" i="34"/>
  <c r="Q30" i="34" s="1"/>
  <c r="J30" i="34"/>
  <c r="E30" i="34"/>
  <c r="R30" i="34" s="1"/>
  <c r="Q29" i="34"/>
  <c r="P29" i="34"/>
  <c r="J29" i="34"/>
  <c r="E29" i="34"/>
  <c r="R29" i="34" s="1"/>
  <c r="P28" i="34"/>
  <c r="J28" i="34"/>
  <c r="Q28" i="34" s="1"/>
  <c r="E28" i="34"/>
  <c r="R28" i="34" s="1"/>
  <c r="P27" i="34"/>
  <c r="J27" i="34"/>
  <c r="Q27" i="34" s="1"/>
  <c r="E27" i="34"/>
  <c r="R27" i="34" s="1"/>
  <c r="P26" i="34"/>
  <c r="Q26" i="34" s="1"/>
  <c r="J26" i="34"/>
  <c r="E26" i="34"/>
  <c r="R26" i="34" s="1"/>
  <c r="Q25" i="34"/>
  <c r="P25" i="34"/>
  <c r="J25" i="34"/>
  <c r="E25" i="34"/>
  <c r="R25" i="34" s="1"/>
  <c r="P24" i="34"/>
  <c r="J24" i="34"/>
  <c r="Q24" i="34" s="1"/>
  <c r="E24" i="34"/>
  <c r="R24" i="34" s="1"/>
  <c r="P23" i="34"/>
  <c r="J23" i="34"/>
  <c r="Q23" i="34" s="1"/>
  <c r="E23" i="34"/>
  <c r="R23" i="34" s="1"/>
  <c r="P22" i="34"/>
  <c r="P51" i="34" s="1"/>
  <c r="J22" i="34"/>
  <c r="E22" i="34"/>
  <c r="R22" i="34" s="1"/>
  <c r="Q21" i="34"/>
  <c r="P21" i="34"/>
  <c r="J21" i="34"/>
  <c r="E21" i="34"/>
  <c r="R21" i="34" s="1"/>
  <c r="P20" i="34"/>
  <c r="J20" i="34"/>
  <c r="J51" i="34" s="1"/>
  <c r="E20" i="34"/>
  <c r="E51" i="34" s="1"/>
  <c r="E31" i="11" s="1"/>
  <c r="G70" i="33"/>
  <c r="G65" i="33"/>
  <c r="O51" i="33"/>
  <c r="N51" i="33"/>
  <c r="M51" i="33"/>
  <c r="L51" i="33"/>
  <c r="K51" i="33"/>
  <c r="I51" i="33"/>
  <c r="H51" i="33"/>
  <c r="G51" i="33"/>
  <c r="F51" i="33"/>
  <c r="D51" i="33"/>
  <c r="C51" i="33"/>
  <c r="B51" i="33"/>
  <c r="P50" i="33"/>
  <c r="J50" i="33"/>
  <c r="E50" i="33"/>
  <c r="R50" i="33" s="1"/>
  <c r="P49" i="33"/>
  <c r="J49" i="33"/>
  <c r="Q49" i="33" s="1"/>
  <c r="E49" i="33"/>
  <c r="R49" i="33" s="1"/>
  <c r="P48" i="33"/>
  <c r="J48" i="33"/>
  <c r="Q48" i="33" s="1"/>
  <c r="E48" i="33"/>
  <c r="R48" i="33" s="1"/>
  <c r="P47" i="33"/>
  <c r="J47" i="33"/>
  <c r="Q47" i="33" s="1"/>
  <c r="E47" i="33"/>
  <c r="P46" i="33"/>
  <c r="Q46" i="33" s="1"/>
  <c r="J46" i="33"/>
  <c r="E46" i="33"/>
  <c r="R46" i="33" s="1"/>
  <c r="P45" i="33"/>
  <c r="Q45" i="33" s="1"/>
  <c r="J45" i="33"/>
  <c r="E45" i="33"/>
  <c r="R45" i="33" s="1"/>
  <c r="P44" i="33"/>
  <c r="J44" i="33"/>
  <c r="Q44" i="33" s="1"/>
  <c r="E44" i="33"/>
  <c r="P43" i="33"/>
  <c r="J43" i="33"/>
  <c r="Q43" i="33" s="1"/>
  <c r="E43" i="33"/>
  <c r="R43" i="33" s="1"/>
  <c r="P42" i="33"/>
  <c r="J42" i="33"/>
  <c r="E42" i="33"/>
  <c r="R42" i="33" s="1"/>
  <c r="Q41" i="33"/>
  <c r="P41" i="33"/>
  <c r="J41" i="33"/>
  <c r="E41" i="33"/>
  <c r="R41" i="33" s="1"/>
  <c r="R40" i="33"/>
  <c r="P40" i="33"/>
  <c r="J40" i="33"/>
  <c r="Q40" i="33" s="1"/>
  <c r="E40" i="33"/>
  <c r="P39" i="33"/>
  <c r="J39" i="33"/>
  <c r="E39" i="33"/>
  <c r="P38" i="33"/>
  <c r="J38" i="33"/>
  <c r="E38" i="33"/>
  <c r="P37" i="33"/>
  <c r="J37" i="33"/>
  <c r="Q37" i="33" s="1"/>
  <c r="E37" i="33"/>
  <c r="P36" i="33"/>
  <c r="J36" i="33"/>
  <c r="Q36" i="33" s="1"/>
  <c r="E36" i="33"/>
  <c r="R36" i="33" s="1"/>
  <c r="P35" i="33"/>
  <c r="J35" i="33"/>
  <c r="Q35" i="33" s="1"/>
  <c r="E35" i="33"/>
  <c r="R35" i="33" s="1"/>
  <c r="P34" i="33"/>
  <c r="Q34" i="33" s="1"/>
  <c r="J34" i="33"/>
  <c r="E34" i="33"/>
  <c r="R34" i="33" s="1"/>
  <c r="P33" i="33"/>
  <c r="Q33" i="33" s="1"/>
  <c r="J33" i="33"/>
  <c r="E33" i="33"/>
  <c r="R33" i="33" s="1"/>
  <c r="R32" i="33"/>
  <c r="P32" i="33"/>
  <c r="J32" i="33"/>
  <c r="E32" i="33"/>
  <c r="P31" i="33"/>
  <c r="J31" i="33"/>
  <c r="Q31" i="33" s="1"/>
  <c r="E31" i="33"/>
  <c r="P30" i="33"/>
  <c r="J30" i="33"/>
  <c r="E30" i="33"/>
  <c r="R30" i="33" s="1"/>
  <c r="P29" i="33"/>
  <c r="J29" i="33"/>
  <c r="Q29" i="33" s="1"/>
  <c r="E29" i="33"/>
  <c r="R29" i="33" s="1"/>
  <c r="P28" i="33"/>
  <c r="J28" i="33"/>
  <c r="Q28" i="33" s="1"/>
  <c r="E28" i="33"/>
  <c r="R28" i="33" s="1"/>
  <c r="P27" i="33"/>
  <c r="J27" i="33"/>
  <c r="E27" i="33"/>
  <c r="R27" i="33" s="1"/>
  <c r="P26" i="33"/>
  <c r="J26" i="33"/>
  <c r="E26" i="33"/>
  <c r="P25" i="33"/>
  <c r="J25" i="33"/>
  <c r="Q25" i="33" s="1"/>
  <c r="E25" i="33"/>
  <c r="P24" i="33"/>
  <c r="J24" i="33"/>
  <c r="Q24" i="33" s="1"/>
  <c r="E24" i="33"/>
  <c r="P23" i="33"/>
  <c r="J23" i="33"/>
  <c r="Q23" i="33" s="1"/>
  <c r="E23" i="33"/>
  <c r="P22" i="33"/>
  <c r="J22" i="33"/>
  <c r="E22" i="33"/>
  <c r="R22" i="33" s="1"/>
  <c r="Q21" i="33"/>
  <c r="P21" i="33"/>
  <c r="J21" i="33"/>
  <c r="E21" i="33"/>
  <c r="R21" i="33" s="1"/>
  <c r="P20" i="33"/>
  <c r="J20" i="33"/>
  <c r="E20" i="33"/>
  <c r="G69" i="32"/>
  <c r="G66" i="32"/>
  <c r="O51" i="32"/>
  <c r="N51" i="32"/>
  <c r="M51" i="32"/>
  <c r="L51" i="32"/>
  <c r="K51" i="32"/>
  <c r="I51" i="32"/>
  <c r="H51" i="32"/>
  <c r="G51" i="32"/>
  <c r="F51" i="32"/>
  <c r="D51" i="32"/>
  <c r="D29" i="11" s="1"/>
  <c r="C51" i="32"/>
  <c r="B51" i="32"/>
  <c r="P50" i="32"/>
  <c r="J50" i="32"/>
  <c r="Q50" i="32" s="1"/>
  <c r="E50" i="32"/>
  <c r="P49" i="32"/>
  <c r="J49" i="32"/>
  <c r="Q49" i="32" s="1"/>
  <c r="E49" i="32"/>
  <c r="P48" i="32"/>
  <c r="J48" i="32"/>
  <c r="E48" i="32"/>
  <c r="R48" i="32" s="1"/>
  <c r="P47" i="32"/>
  <c r="J47" i="32"/>
  <c r="Q47" i="32" s="1"/>
  <c r="E47" i="32"/>
  <c r="P46" i="32"/>
  <c r="J46" i="32"/>
  <c r="E46" i="32"/>
  <c r="R46" i="32" s="1"/>
  <c r="P45" i="32"/>
  <c r="Q45" i="32" s="1"/>
  <c r="J45" i="32"/>
  <c r="E45" i="32"/>
  <c r="R45" i="32" s="1"/>
  <c r="P44" i="32"/>
  <c r="J44" i="32"/>
  <c r="E44" i="32"/>
  <c r="P43" i="32"/>
  <c r="J43" i="32"/>
  <c r="Q43" i="32" s="1"/>
  <c r="E43" i="32"/>
  <c r="P42" i="32"/>
  <c r="J42" i="32"/>
  <c r="Q42" i="32" s="1"/>
  <c r="E42" i="32"/>
  <c r="R42" i="32" s="1"/>
  <c r="P41" i="32"/>
  <c r="J41" i="32"/>
  <c r="Q41" i="32" s="1"/>
  <c r="E41" i="32"/>
  <c r="R41" i="32" s="1"/>
  <c r="P40" i="32"/>
  <c r="J40" i="32"/>
  <c r="E40" i="32"/>
  <c r="R40" i="32" s="1"/>
  <c r="P39" i="32"/>
  <c r="J39" i="32"/>
  <c r="E39" i="32"/>
  <c r="P38" i="32"/>
  <c r="J38" i="32"/>
  <c r="Q38" i="32" s="1"/>
  <c r="E38" i="32"/>
  <c r="P37" i="32"/>
  <c r="J37" i="32"/>
  <c r="Q37" i="32" s="1"/>
  <c r="E37" i="32"/>
  <c r="R37" i="32" s="1"/>
  <c r="P36" i="32"/>
  <c r="J36" i="32"/>
  <c r="E36" i="32"/>
  <c r="R36" i="32" s="1"/>
  <c r="P35" i="32"/>
  <c r="J35" i="32"/>
  <c r="E35" i="32"/>
  <c r="P34" i="32"/>
  <c r="J34" i="32"/>
  <c r="Q34" i="32" s="1"/>
  <c r="E34" i="32"/>
  <c r="P33" i="32"/>
  <c r="J33" i="32"/>
  <c r="Q33" i="32" s="1"/>
  <c r="E33" i="32"/>
  <c r="P32" i="32"/>
  <c r="J32" i="32"/>
  <c r="E32" i="32"/>
  <c r="R32" i="32" s="1"/>
  <c r="P31" i="32"/>
  <c r="J31" i="32"/>
  <c r="E31" i="32"/>
  <c r="P30" i="32"/>
  <c r="J30" i="32"/>
  <c r="E30" i="32"/>
  <c r="P29" i="32"/>
  <c r="J29" i="32"/>
  <c r="E29" i="32"/>
  <c r="R29" i="32" s="1"/>
  <c r="P28" i="32"/>
  <c r="J28" i="32"/>
  <c r="E28" i="32"/>
  <c r="P27" i="32"/>
  <c r="J27" i="32"/>
  <c r="E27" i="32"/>
  <c r="P26" i="32"/>
  <c r="J26" i="32"/>
  <c r="Q26" i="32" s="1"/>
  <c r="E26" i="32"/>
  <c r="P25" i="32"/>
  <c r="J25" i="32"/>
  <c r="Q25" i="32" s="1"/>
  <c r="E25" i="32"/>
  <c r="P24" i="32"/>
  <c r="J24" i="32"/>
  <c r="E24" i="32"/>
  <c r="R24" i="32" s="1"/>
  <c r="P23" i="32"/>
  <c r="J23" i="32"/>
  <c r="E23" i="32"/>
  <c r="P22" i="32"/>
  <c r="J22" i="32"/>
  <c r="E22" i="32"/>
  <c r="P21" i="32"/>
  <c r="J21" i="32"/>
  <c r="Q21" i="32" s="1"/>
  <c r="E21" i="32"/>
  <c r="P20" i="32"/>
  <c r="J20" i="32"/>
  <c r="E20" i="32"/>
  <c r="R20" i="32" s="1"/>
  <c r="G68" i="31"/>
  <c r="G63" i="31"/>
  <c r="O51" i="31"/>
  <c r="N51" i="31"/>
  <c r="M51" i="31"/>
  <c r="L51" i="31"/>
  <c r="K51" i="31"/>
  <c r="I51" i="31"/>
  <c r="H51" i="31"/>
  <c r="G51" i="31"/>
  <c r="F51" i="31"/>
  <c r="D51" i="31"/>
  <c r="C51" i="31"/>
  <c r="C28" i="11" s="1"/>
  <c r="B51" i="31"/>
  <c r="P50" i="31"/>
  <c r="J50" i="31"/>
  <c r="E50" i="31"/>
  <c r="P49" i="31"/>
  <c r="J49" i="31"/>
  <c r="E49" i="31"/>
  <c r="R49" i="31" s="1"/>
  <c r="P48" i="31"/>
  <c r="J48" i="31"/>
  <c r="E48" i="31"/>
  <c r="P47" i="31"/>
  <c r="J47" i="31"/>
  <c r="E47" i="31"/>
  <c r="P46" i="31"/>
  <c r="J46" i="31"/>
  <c r="E46" i="31"/>
  <c r="P45" i="31"/>
  <c r="J45" i="31"/>
  <c r="E45" i="31"/>
  <c r="P44" i="31"/>
  <c r="J44" i="31"/>
  <c r="E44" i="31"/>
  <c r="P43" i="31"/>
  <c r="J43" i="31"/>
  <c r="E43" i="31"/>
  <c r="P42" i="31"/>
  <c r="J42" i="31"/>
  <c r="E42" i="31"/>
  <c r="P41" i="31"/>
  <c r="J41" i="31"/>
  <c r="E41" i="31"/>
  <c r="P40" i="31"/>
  <c r="J40" i="31"/>
  <c r="E40" i="31"/>
  <c r="P39" i="31"/>
  <c r="J39" i="31"/>
  <c r="E39" i="31"/>
  <c r="P38" i="31"/>
  <c r="J38" i="31"/>
  <c r="E38" i="31"/>
  <c r="R38" i="31" s="1"/>
  <c r="P37" i="31"/>
  <c r="J37" i="31"/>
  <c r="E37" i="31"/>
  <c r="P36" i="31"/>
  <c r="J36" i="31"/>
  <c r="E36" i="31"/>
  <c r="P35" i="31"/>
  <c r="J35" i="31"/>
  <c r="E35" i="31"/>
  <c r="P34" i="31"/>
  <c r="J34" i="31"/>
  <c r="E34" i="31"/>
  <c r="R34" i="31" s="1"/>
  <c r="P33" i="31"/>
  <c r="Q33" i="31" s="1"/>
  <c r="J33" i="31"/>
  <c r="E33" i="31"/>
  <c r="P32" i="31"/>
  <c r="J32" i="31"/>
  <c r="E32" i="31"/>
  <c r="P31" i="31"/>
  <c r="J31" i="31"/>
  <c r="Q31" i="31" s="1"/>
  <c r="E31" i="31"/>
  <c r="P30" i="31"/>
  <c r="J30" i="31"/>
  <c r="E30" i="31"/>
  <c r="R30" i="31" s="1"/>
  <c r="P29" i="31"/>
  <c r="J29" i="31"/>
  <c r="E29" i="31"/>
  <c r="R29" i="31" s="1"/>
  <c r="P28" i="31"/>
  <c r="J28" i="31"/>
  <c r="E28" i="31"/>
  <c r="P27" i="31"/>
  <c r="J27" i="31"/>
  <c r="Q27" i="31" s="1"/>
  <c r="E27" i="31"/>
  <c r="P26" i="31"/>
  <c r="J26" i="31"/>
  <c r="E26" i="31"/>
  <c r="R26" i="31" s="1"/>
  <c r="P25" i="31"/>
  <c r="Q25" i="31" s="1"/>
  <c r="J25" i="31"/>
  <c r="E25" i="31"/>
  <c r="R24" i="31"/>
  <c r="P24" i="31"/>
  <c r="J24" i="31"/>
  <c r="E24" i="31"/>
  <c r="P23" i="31"/>
  <c r="J23" i="31"/>
  <c r="E23" i="31"/>
  <c r="P22" i="31"/>
  <c r="J22" i="31"/>
  <c r="E22" i="31"/>
  <c r="P21" i="31"/>
  <c r="J21" i="31"/>
  <c r="E21" i="31"/>
  <c r="R21" i="31" s="1"/>
  <c r="P20" i="31"/>
  <c r="J20" i="31"/>
  <c r="E20" i="31"/>
  <c r="G67" i="30"/>
  <c r="G66" i="30"/>
  <c r="G65" i="30"/>
  <c r="G64" i="30"/>
  <c r="O51" i="30"/>
  <c r="N51" i="30"/>
  <c r="M51" i="30"/>
  <c r="L51" i="30"/>
  <c r="K51" i="30"/>
  <c r="I51" i="30"/>
  <c r="H51" i="30"/>
  <c r="G51" i="30"/>
  <c r="F51" i="30"/>
  <c r="D51" i="30"/>
  <c r="C51" i="30"/>
  <c r="B51" i="30"/>
  <c r="P50" i="30"/>
  <c r="J50" i="30"/>
  <c r="E50" i="30"/>
  <c r="P49" i="30"/>
  <c r="J49" i="30"/>
  <c r="Q49" i="30" s="1"/>
  <c r="E49" i="30"/>
  <c r="P48" i="30"/>
  <c r="J48" i="30"/>
  <c r="E48" i="30"/>
  <c r="R48" i="30" s="1"/>
  <c r="P47" i="30"/>
  <c r="J47" i="30"/>
  <c r="E47" i="30"/>
  <c r="P46" i="30"/>
  <c r="J46" i="30"/>
  <c r="E46" i="30"/>
  <c r="P45" i="30"/>
  <c r="J45" i="30"/>
  <c r="E45" i="30"/>
  <c r="P44" i="30"/>
  <c r="J44" i="30"/>
  <c r="E44" i="30"/>
  <c r="P43" i="30"/>
  <c r="J43" i="30"/>
  <c r="E43" i="30"/>
  <c r="P42" i="30"/>
  <c r="J42" i="30"/>
  <c r="E42" i="30"/>
  <c r="P41" i="30"/>
  <c r="J41" i="30"/>
  <c r="Q41" i="30" s="1"/>
  <c r="E41" i="30"/>
  <c r="R41" i="30" s="1"/>
  <c r="P40" i="30"/>
  <c r="J40" i="30"/>
  <c r="E40" i="30"/>
  <c r="R40" i="30" s="1"/>
  <c r="P39" i="30"/>
  <c r="J39" i="30"/>
  <c r="E39" i="30"/>
  <c r="P38" i="30"/>
  <c r="J38" i="30"/>
  <c r="E38" i="30"/>
  <c r="P37" i="30"/>
  <c r="J37" i="30"/>
  <c r="E37" i="30"/>
  <c r="P36" i="30"/>
  <c r="J36" i="30"/>
  <c r="E36" i="30"/>
  <c r="P35" i="30"/>
  <c r="J35" i="30"/>
  <c r="E35" i="30"/>
  <c r="P34" i="30"/>
  <c r="J34" i="30"/>
  <c r="E34" i="30"/>
  <c r="P33" i="30"/>
  <c r="J33" i="30"/>
  <c r="E33" i="30"/>
  <c r="P32" i="30"/>
  <c r="J32" i="30"/>
  <c r="E32" i="30"/>
  <c r="P31" i="30"/>
  <c r="J31" i="30"/>
  <c r="E31" i="30"/>
  <c r="P30" i="30"/>
  <c r="J30" i="30"/>
  <c r="E30" i="30"/>
  <c r="P29" i="30"/>
  <c r="J29" i="30"/>
  <c r="E29" i="30"/>
  <c r="P28" i="30"/>
  <c r="J28" i="30"/>
  <c r="E28" i="30"/>
  <c r="P27" i="30"/>
  <c r="J27" i="30"/>
  <c r="E27" i="30"/>
  <c r="P26" i="30"/>
  <c r="J26" i="30"/>
  <c r="E26" i="30"/>
  <c r="P25" i="30"/>
  <c r="J25" i="30"/>
  <c r="Q25" i="30" s="1"/>
  <c r="E25" i="30"/>
  <c r="P24" i="30"/>
  <c r="J24" i="30"/>
  <c r="E24" i="30"/>
  <c r="R24" i="30" s="1"/>
  <c r="P23" i="30"/>
  <c r="J23" i="30"/>
  <c r="E23" i="30"/>
  <c r="P22" i="30"/>
  <c r="J22" i="30"/>
  <c r="E22" i="30"/>
  <c r="P21" i="30"/>
  <c r="J21" i="30"/>
  <c r="Q21" i="30" s="1"/>
  <c r="E21" i="30"/>
  <c r="P20" i="30"/>
  <c r="J20" i="30"/>
  <c r="E20" i="30"/>
  <c r="G66" i="29"/>
  <c r="O51" i="29"/>
  <c r="N51" i="29"/>
  <c r="M51" i="29"/>
  <c r="L51" i="29"/>
  <c r="K51" i="29"/>
  <c r="I51" i="29"/>
  <c r="H51" i="29"/>
  <c r="G51" i="29"/>
  <c r="F51" i="29"/>
  <c r="D51" i="29"/>
  <c r="C51" i="29"/>
  <c r="B51" i="29"/>
  <c r="P50" i="29"/>
  <c r="J50" i="29"/>
  <c r="E50" i="29"/>
  <c r="P49" i="29"/>
  <c r="J49" i="29"/>
  <c r="E49" i="29"/>
  <c r="P48" i="29"/>
  <c r="J48" i="29"/>
  <c r="E48" i="29"/>
  <c r="P47" i="29"/>
  <c r="J47" i="29"/>
  <c r="E47" i="29"/>
  <c r="P46" i="29"/>
  <c r="J46" i="29"/>
  <c r="E46" i="29"/>
  <c r="P45" i="29"/>
  <c r="J45" i="29"/>
  <c r="E45" i="29"/>
  <c r="P44" i="29"/>
  <c r="J44" i="29"/>
  <c r="E44" i="29"/>
  <c r="P43" i="29"/>
  <c r="J43" i="29"/>
  <c r="E43" i="29"/>
  <c r="P42" i="29"/>
  <c r="J42" i="29"/>
  <c r="E42" i="29"/>
  <c r="P41" i="29"/>
  <c r="J41" i="29"/>
  <c r="E41" i="29"/>
  <c r="P40" i="29"/>
  <c r="J40" i="29"/>
  <c r="E40" i="29"/>
  <c r="P39" i="29"/>
  <c r="J39" i="29"/>
  <c r="E39" i="29"/>
  <c r="P38" i="29"/>
  <c r="J38" i="29"/>
  <c r="E38" i="29"/>
  <c r="P37" i="29"/>
  <c r="J37" i="29"/>
  <c r="E37" i="29"/>
  <c r="P36" i="29"/>
  <c r="J36" i="29"/>
  <c r="E36" i="29"/>
  <c r="P35" i="29"/>
  <c r="J35" i="29"/>
  <c r="E35" i="29"/>
  <c r="P34" i="29"/>
  <c r="J34" i="29"/>
  <c r="E34" i="29"/>
  <c r="P33" i="29"/>
  <c r="J33" i="29"/>
  <c r="E33" i="29"/>
  <c r="P32" i="29"/>
  <c r="J32" i="29"/>
  <c r="E32" i="29"/>
  <c r="P31" i="29"/>
  <c r="J31" i="29"/>
  <c r="E31" i="29"/>
  <c r="P30" i="29"/>
  <c r="J30" i="29"/>
  <c r="E30" i="29"/>
  <c r="P29" i="29"/>
  <c r="J29" i="29"/>
  <c r="E29" i="29"/>
  <c r="P28" i="29"/>
  <c r="J28" i="29"/>
  <c r="E28" i="29"/>
  <c r="P27" i="29"/>
  <c r="J27" i="29"/>
  <c r="E27" i="29"/>
  <c r="P26" i="29"/>
  <c r="J26" i="29"/>
  <c r="E26" i="29"/>
  <c r="P25" i="29"/>
  <c r="J25" i="29"/>
  <c r="E25" i="29"/>
  <c r="P24" i="29"/>
  <c r="J24" i="29"/>
  <c r="E24" i="29"/>
  <c r="P23" i="29"/>
  <c r="J23" i="29"/>
  <c r="E23" i="29"/>
  <c r="P22" i="29"/>
  <c r="J22" i="29"/>
  <c r="E22" i="29"/>
  <c r="P21" i="29"/>
  <c r="J21" i="29"/>
  <c r="E21" i="29"/>
  <c r="P20" i="29"/>
  <c r="J20" i="29"/>
  <c r="E20" i="29"/>
  <c r="G65" i="28"/>
  <c r="G64" i="28"/>
  <c r="O51" i="28"/>
  <c r="N51" i="28"/>
  <c r="M51" i="28"/>
  <c r="L51" i="28"/>
  <c r="K51" i="28"/>
  <c r="I51" i="28"/>
  <c r="H51" i="28"/>
  <c r="G51" i="28"/>
  <c r="F51" i="28"/>
  <c r="D51" i="28"/>
  <c r="C51" i="28"/>
  <c r="B51" i="28"/>
  <c r="P50" i="28"/>
  <c r="J50" i="28"/>
  <c r="E50" i="28"/>
  <c r="P49" i="28"/>
  <c r="J49" i="28"/>
  <c r="E49" i="28"/>
  <c r="P48" i="28"/>
  <c r="J48" i="28"/>
  <c r="E48" i="28"/>
  <c r="P47" i="28"/>
  <c r="J47" i="28"/>
  <c r="E47" i="28"/>
  <c r="P46" i="28"/>
  <c r="J46" i="28"/>
  <c r="E46" i="28"/>
  <c r="P45" i="28"/>
  <c r="J45" i="28"/>
  <c r="E45" i="28"/>
  <c r="P44" i="28"/>
  <c r="J44" i="28"/>
  <c r="E44" i="28"/>
  <c r="P43" i="28"/>
  <c r="J43" i="28"/>
  <c r="E43" i="28"/>
  <c r="P42" i="28"/>
  <c r="J42" i="28"/>
  <c r="E42" i="28"/>
  <c r="P41" i="28"/>
  <c r="J41" i="28"/>
  <c r="E41" i="28"/>
  <c r="P40" i="28"/>
  <c r="J40" i="28"/>
  <c r="E40" i="28"/>
  <c r="P39" i="28"/>
  <c r="J39" i="28"/>
  <c r="E39" i="28"/>
  <c r="P38" i="28"/>
  <c r="J38" i="28"/>
  <c r="E38" i="28"/>
  <c r="P37" i="28"/>
  <c r="J37" i="28"/>
  <c r="E37" i="28"/>
  <c r="P36" i="28"/>
  <c r="J36" i="28"/>
  <c r="E36" i="28"/>
  <c r="P35" i="28"/>
  <c r="J35" i="28"/>
  <c r="E35" i="28"/>
  <c r="P34" i="28"/>
  <c r="J34" i="28"/>
  <c r="E34" i="28"/>
  <c r="P33" i="28"/>
  <c r="J33" i="28"/>
  <c r="E33" i="28"/>
  <c r="P32" i="28"/>
  <c r="J32" i="28"/>
  <c r="E32" i="28"/>
  <c r="P31" i="28"/>
  <c r="J31" i="28"/>
  <c r="E31" i="28"/>
  <c r="P30" i="28"/>
  <c r="J30" i="28"/>
  <c r="E30" i="28"/>
  <c r="P29" i="28"/>
  <c r="J29" i="28"/>
  <c r="E29" i="28"/>
  <c r="P28" i="28"/>
  <c r="J28" i="28"/>
  <c r="E28" i="28"/>
  <c r="P27" i="28"/>
  <c r="J27" i="28"/>
  <c r="E27" i="28"/>
  <c r="P26" i="28"/>
  <c r="J26" i="28"/>
  <c r="E26" i="28"/>
  <c r="P25" i="28"/>
  <c r="J25" i="28"/>
  <c r="E25" i="28"/>
  <c r="P24" i="28"/>
  <c r="J24" i="28"/>
  <c r="E24" i="28"/>
  <c r="P23" i="28"/>
  <c r="J23" i="28"/>
  <c r="E23" i="28"/>
  <c r="P22" i="28"/>
  <c r="J22" i="28"/>
  <c r="E22" i="28"/>
  <c r="P21" i="28"/>
  <c r="J21" i="28"/>
  <c r="E21" i="28"/>
  <c r="P20" i="28"/>
  <c r="J20" i="28"/>
  <c r="E20" i="28"/>
  <c r="G64" i="27"/>
  <c r="O51" i="27"/>
  <c r="N51" i="27"/>
  <c r="M51" i="27"/>
  <c r="L51" i="27"/>
  <c r="K51" i="27"/>
  <c r="I51" i="27"/>
  <c r="H51" i="27"/>
  <c r="G51" i="27"/>
  <c r="F51" i="27"/>
  <c r="D51" i="27"/>
  <c r="C51" i="27"/>
  <c r="B51" i="27"/>
  <c r="P50" i="27"/>
  <c r="J50" i="27"/>
  <c r="E50" i="27"/>
  <c r="P49" i="27"/>
  <c r="J49" i="27"/>
  <c r="E49" i="27"/>
  <c r="P48" i="27"/>
  <c r="J48" i="27"/>
  <c r="E48" i="27"/>
  <c r="P47" i="27"/>
  <c r="J47" i="27"/>
  <c r="E47" i="27"/>
  <c r="P46" i="27"/>
  <c r="J46" i="27"/>
  <c r="E46" i="27"/>
  <c r="P45" i="27"/>
  <c r="J45" i="27"/>
  <c r="E45" i="27"/>
  <c r="P44" i="27"/>
  <c r="J44" i="27"/>
  <c r="E44" i="27"/>
  <c r="P43" i="27"/>
  <c r="J43" i="27"/>
  <c r="E43" i="27"/>
  <c r="P42" i="27"/>
  <c r="J42" i="27"/>
  <c r="E42" i="27"/>
  <c r="P41" i="27"/>
  <c r="J41" i="27"/>
  <c r="E41" i="27"/>
  <c r="P40" i="27"/>
  <c r="J40" i="27"/>
  <c r="E40" i="27"/>
  <c r="P39" i="27"/>
  <c r="J39" i="27"/>
  <c r="E39" i="27"/>
  <c r="P38" i="27"/>
  <c r="J38" i="27"/>
  <c r="E38" i="27"/>
  <c r="P37" i="27"/>
  <c r="J37" i="27"/>
  <c r="E37" i="27"/>
  <c r="P36" i="27"/>
  <c r="J36" i="27"/>
  <c r="E36" i="27"/>
  <c r="P35" i="27"/>
  <c r="J35" i="27"/>
  <c r="E35" i="27"/>
  <c r="P34" i="27"/>
  <c r="J34" i="27"/>
  <c r="E34" i="27"/>
  <c r="P33" i="27"/>
  <c r="J33" i="27"/>
  <c r="E33" i="27"/>
  <c r="P32" i="27"/>
  <c r="J32" i="27"/>
  <c r="E32" i="27"/>
  <c r="P31" i="27"/>
  <c r="J31" i="27"/>
  <c r="E31" i="27"/>
  <c r="P30" i="27"/>
  <c r="J30" i="27"/>
  <c r="E30" i="27"/>
  <c r="P29" i="27"/>
  <c r="J29" i="27"/>
  <c r="E29" i="27"/>
  <c r="P28" i="27"/>
  <c r="J28" i="27"/>
  <c r="E28" i="27"/>
  <c r="P27" i="27"/>
  <c r="J27" i="27"/>
  <c r="E27" i="27"/>
  <c r="P26" i="27"/>
  <c r="J26" i="27"/>
  <c r="E26" i="27"/>
  <c r="P25" i="27"/>
  <c r="J25" i="27"/>
  <c r="E25" i="27"/>
  <c r="P24" i="27"/>
  <c r="J24" i="27"/>
  <c r="E24" i="27"/>
  <c r="P23" i="27"/>
  <c r="J23" i="27"/>
  <c r="E23" i="27"/>
  <c r="P22" i="27"/>
  <c r="J22" i="27"/>
  <c r="E22" i="27"/>
  <c r="P21" i="27"/>
  <c r="J21" i="27"/>
  <c r="E21" i="27"/>
  <c r="P20" i="27"/>
  <c r="J20" i="27"/>
  <c r="E20" i="27"/>
  <c r="G63" i="26"/>
  <c r="G61" i="26"/>
  <c r="O51" i="26"/>
  <c r="N51" i="26"/>
  <c r="M51" i="26"/>
  <c r="L51" i="26"/>
  <c r="K51" i="26"/>
  <c r="I51" i="26"/>
  <c r="H51" i="26"/>
  <c r="G51" i="26"/>
  <c r="F51" i="26"/>
  <c r="D51" i="26"/>
  <c r="C51" i="26"/>
  <c r="B51" i="26"/>
  <c r="P50" i="26"/>
  <c r="J50" i="26"/>
  <c r="E50" i="26"/>
  <c r="P49" i="26"/>
  <c r="J49" i="26"/>
  <c r="E49" i="26"/>
  <c r="P48" i="26"/>
  <c r="J48" i="26"/>
  <c r="Q48" i="26" s="1"/>
  <c r="E48" i="26"/>
  <c r="P47" i="26"/>
  <c r="J47" i="26"/>
  <c r="E47" i="26"/>
  <c r="P46" i="26"/>
  <c r="J46" i="26"/>
  <c r="E46" i="26"/>
  <c r="P45" i="26"/>
  <c r="J45" i="26"/>
  <c r="E45" i="26"/>
  <c r="P44" i="26"/>
  <c r="J44" i="26"/>
  <c r="Q44" i="26" s="1"/>
  <c r="E44" i="26"/>
  <c r="P43" i="26"/>
  <c r="J43" i="26"/>
  <c r="E43" i="26"/>
  <c r="R43" i="26" s="1"/>
  <c r="P42" i="26"/>
  <c r="J42" i="26"/>
  <c r="E42" i="26"/>
  <c r="P41" i="26"/>
  <c r="J41" i="26"/>
  <c r="E41" i="26"/>
  <c r="P40" i="26"/>
  <c r="J40" i="26"/>
  <c r="E40" i="26"/>
  <c r="P39" i="26"/>
  <c r="J39" i="26"/>
  <c r="E39" i="26"/>
  <c r="P38" i="26"/>
  <c r="J38" i="26"/>
  <c r="E38" i="26"/>
  <c r="P37" i="26"/>
  <c r="J37" i="26"/>
  <c r="E37" i="26"/>
  <c r="P36" i="26"/>
  <c r="J36" i="26"/>
  <c r="Q36" i="26" s="1"/>
  <c r="E36" i="26"/>
  <c r="P35" i="26"/>
  <c r="J35" i="26"/>
  <c r="E35" i="26"/>
  <c r="R35" i="26" s="1"/>
  <c r="P34" i="26"/>
  <c r="J34" i="26"/>
  <c r="E34" i="26"/>
  <c r="P33" i="26"/>
  <c r="J33" i="26"/>
  <c r="E33" i="26"/>
  <c r="P32" i="26"/>
  <c r="J32" i="26"/>
  <c r="E32" i="26"/>
  <c r="P31" i="26"/>
  <c r="J31" i="26"/>
  <c r="E31" i="26"/>
  <c r="P30" i="26"/>
  <c r="J30" i="26"/>
  <c r="E30" i="26"/>
  <c r="P29" i="26"/>
  <c r="J29" i="26"/>
  <c r="E29" i="26"/>
  <c r="P28" i="26"/>
  <c r="J28" i="26"/>
  <c r="E28" i="26"/>
  <c r="P27" i="26"/>
  <c r="J27" i="26"/>
  <c r="E27" i="26"/>
  <c r="P26" i="26"/>
  <c r="J26" i="26"/>
  <c r="E26" i="26"/>
  <c r="P25" i="26"/>
  <c r="J25" i="26"/>
  <c r="E25" i="26"/>
  <c r="P24" i="26"/>
  <c r="J24" i="26"/>
  <c r="E24" i="26"/>
  <c r="P23" i="26"/>
  <c r="J23" i="26"/>
  <c r="E23" i="26"/>
  <c r="P22" i="26"/>
  <c r="J22" i="26"/>
  <c r="E22" i="26"/>
  <c r="P21" i="26"/>
  <c r="J21" i="26"/>
  <c r="E21" i="26"/>
  <c r="P20" i="26"/>
  <c r="J20" i="26"/>
  <c r="E20" i="26"/>
  <c r="O51" i="25"/>
  <c r="N51" i="25"/>
  <c r="M51" i="25"/>
  <c r="L51" i="25"/>
  <c r="K51" i="25"/>
  <c r="I51" i="25"/>
  <c r="H51" i="25"/>
  <c r="G51" i="25"/>
  <c r="F51" i="25"/>
  <c r="D51" i="25"/>
  <c r="C51" i="25"/>
  <c r="B51" i="25"/>
  <c r="P50" i="25"/>
  <c r="J50" i="25"/>
  <c r="E50" i="25"/>
  <c r="P49" i="25"/>
  <c r="J49" i="25"/>
  <c r="E49" i="25"/>
  <c r="P48" i="25"/>
  <c r="J48" i="25"/>
  <c r="E48" i="25"/>
  <c r="P47" i="25"/>
  <c r="J47" i="25"/>
  <c r="E47" i="25"/>
  <c r="P46" i="25"/>
  <c r="J46" i="25"/>
  <c r="E46" i="25"/>
  <c r="P45" i="25"/>
  <c r="J45" i="25"/>
  <c r="E45" i="25"/>
  <c r="P44" i="25"/>
  <c r="J44" i="25"/>
  <c r="E44" i="25"/>
  <c r="P43" i="25"/>
  <c r="J43" i="25"/>
  <c r="E43" i="25"/>
  <c r="P42" i="25"/>
  <c r="J42" i="25"/>
  <c r="E42" i="25"/>
  <c r="P41" i="25"/>
  <c r="J41" i="25"/>
  <c r="E41" i="25"/>
  <c r="P40" i="25"/>
  <c r="J40" i="25"/>
  <c r="E40" i="25"/>
  <c r="P39" i="25"/>
  <c r="J39" i="25"/>
  <c r="E39" i="25"/>
  <c r="P38" i="25"/>
  <c r="J38" i="25"/>
  <c r="E38" i="25"/>
  <c r="P37" i="25"/>
  <c r="J37" i="25"/>
  <c r="E37" i="25"/>
  <c r="P36" i="25"/>
  <c r="J36" i="25"/>
  <c r="E36" i="25"/>
  <c r="P35" i="25"/>
  <c r="J35" i="25"/>
  <c r="E35" i="25"/>
  <c r="P34" i="25"/>
  <c r="J34" i="25"/>
  <c r="E34" i="25"/>
  <c r="P33" i="25"/>
  <c r="J33" i="25"/>
  <c r="E33" i="25"/>
  <c r="P32" i="25"/>
  <c r="J32" i="25"/>
  <c r="E32" i="25"/>
  <c r="P31" i="25"/>
  <c r="J31" i="25"/>
  <c r="E31" i="25"/>
  <c r="P30" i="25"/>
  <c r="J30" i="25"/>
  <c r="E30" i="25"/>
  <c r="P29" i="25"/>
  <c r="J29" i="25"/>
  <c r="E29" i="25"/>
  <c r="P28" i="25"/>
  <c r="J28" i="25"/>
  <c r="E28" i="25"/>
  <c r="P27" i="25"/>
  <c r="J27" i="25"/>
  <c r="E27" i="25"/>
  <c r="P26" i="25"/>
  <c r="J26" i="25"/>
  <c r="E26" i="25"/>
  <c r="P25" i="25"/>
  <c r="J25" i="25"/>
  <c r="E25" i="25"/>
  <c r="P24" i="25"/>
  <c r="J24" i="25"/>
  <c r="E24" i="25"/>
  <c r="P23" i="25"/>
  <c r="J23" i="25"/>
  <c r="E23" i="25"/>
  <c r="P22" i="25"/>
  <c r="J22" i="25"/>
  <c r="E22" i="25"/>
  <c r="P21" i="25"/>
  <c r="J21" i="25"/>
  <c r="E21" i="25"/>
  <c r="P20" i="25"/>
  <c r="J20" i="25"/>
  <c r="E20" i="25"/>
  <c r="G61" i="24"/>
  <c r="O51" i="24"/>
  <c r="N51" i="24"/>
  <c r="M51" i="24"/>
  <c r="L51" i="24"/>
  <c r="K51" i="24"/>
  <c r="I51" i="24"/>
  <c r="H51" i="24"/>
  <c r="G51" i="24"/>
  <c r="F51" i="24"/>
  <c r="D51" i="24"/>
  <c r="C51" i="24"/>
  <c r="B51" i="24"/>
  <c r="P50" i="24"/>
  <c r="J50" i="24"/>
  <c r="E50" i="24"/>
  <c r="P49" i="24"/>
  <c r="J49" i="24"/>
  <c r="E49" i="24"/>
  <c r="P48" i="24"/>
  <c r="J48" i="24"/>
  <c r="E48" i="24"/>
  <c r="P47" i="24"/>
  <c r="J47" i="24"/>
  <c r="E47" i="24"/>
  <c r="P46" i="24"/>
  <c r="J46" i="24"/>
  <c r="E46" i="24"/>
  <c r="P45" i="24"/>
  <c r="J45" i="24"/>
  <c r="E45" i="24"/>
  <c r="P44" i="24"/>
  <c r="J44" i="24"/>
  <c r="E44" i="24"/>
  <c r="P43" i="24"/>
  <c r="J43" i="24"/>
  <c r="E43" i="24"/>
  <c r="P42" i="24"/>
  <c r="J42" i="24"/>
  <c r="E42" i="24"/>
  <c r="P41" i="24"/>
  <c r="J41" i="24"/>
  <c r="E41" i="24"/>
  <c r="P40" i="24"/>
  <c r="J40" i="24"/>
  <c r="E40" i="24"/>
  <c r="P39" i="24"/>
  <c r="J39" i="24"/>
  <c r="E39" i="24"/>
  <c r="P38" i="24"/>
  <c r="J38" i="24"/>
  <c r="E38" i="24"/>
  <c r="P37" i="24"/>
  <c r="J37" i="24"/>
  <c r="E37" i="24"/>
  <c r="P36" i="24"/>
  <c r="J36" i="24"/>
  <c r="E36" i="24"/>
  <c r="P35" i="24"/>
  <c r="J35" i="24"/>
  <c r="E35" i="24"/>
  <c r="P34" i="24"/>
  <c r="J34" i="24"/>
  <c r="E34" i="24"/>
  <c r="P33" i="24"/>
  <c r="J33" i="24"/>
  <c r="E33" i="24"/>
  <c r="P32" i="24"/>
  <c r="J32" i="24"/>
  <c r="E32" i="24"/>
  <c r="P31" i="24"/>
  <c r="J31" i="24"/>
  <c r="E31" i="24"/>
  <c r="P30" i="24"/>
  <c r="J30" i="24"/>
  <c r="E30" i="24"/>
  <c r="P29" i="24"/>
  <c r="J29" i="24"/>
  <c r="E29" i="24"/>
  <c r="P28" i="24"/>
  <c r="J28" i="24"/>
  <c r="E28" i="24"/>
  <c r="P27" i="24"/>
  <c r="J27" i="24"/>
  <c r="E27" i="24"/>
  <c r="P26" i="24"/>
  <c r="J26" i="24"/>
  <c r="E26" i="24"/>
  <c r="P25" i="24"/>
  <c r="J25" i="24"/>
  <c r="E25" i="24"/>
  <c r="P24" i="24"/>
  <c r="J24" i="24"/>
  <c r="E24" i="24"/>
  <c r="P23" i="24"/>
  <c r="J23" i="24"/>
  <c r="E23" i="24"/>
  <c r="P22" i="24"/>
  <c r="J22" i="24"/>
  <c r="E22" i="24"/>
  <c r="P21" i="24"/>
  <c r="J21" i="24"/>
  <c r="E21" i="24"/>
  <c r="P20" i="24"/>
  <c r="J20" i="24"/>
  <c r="E20" i="24"/>
  <c r="G60" i="12"/>
  <c r="O51" i="12"/>
  <c r="O20" i="11" s="1"/>
  <c r="O32" i="11" s="1"/>
  <c r="N51" i="12"/>
  <c r="N20" i="11" s="1"/>
  <c r="M51" i="12"/>
  <c r="M20" i="11" s="1"/>
  <c r="L51" i="12"/>
  <c r="L20" i="11" s="1"/>
  <c r="K51" i="12"/>
  <c r="K20" i="11" s="1"/>
  <c r="K32" i="11" s="1"/>
  <c r="I51" i="12"/>
  <c r="I20" i="11" s="1"/>
  <c r="H51" i="12"/>
  <c r="H20" i="11" s="1"/>
  <c r="H32" i="11" s="1"/>
  <c r="G51" i="12"/>
  <c r="G20" i="11" s="1"/>
  <c r="G32" i="11" s="1"/>
  <c r="F51" i="12"/>
  <c r="F20" i="11" s="1"/>
  <c r="D51" i="12"/>
  <c r="D20" i="11" s="1"/>
  <c r="C51" i="12"/>
  <c r="C20" i="11" s="1"/>
  <c r="B51" i="12"/>
  <c r="B20" i="11" s="1"/>
  <c r="P50" i="12"/>
  <c r="J50" i="12"/>
  <c r="E50" i="12"/>
  <c r="P49" i="12"/>
  <c r="J49" i="12"/>
  <c r="E49" i="12"/>
  <c r="P48" i="12"/>
  <c r="J48" i="12"/>
  <c r="E48" i="12"/>
  <c r="P47" i="12"/>
  <c r="J47" i="12"/>
  <c r="E47" i="12"/>
  <c r="P46" i="12"/>
  <c r="J46" i="12"/>
  <c r="E46" i="12"/>
  <c r="P45" i="12"/>
  <c r="J45" i="12"/>
  <c r="E45" i="12"/>
  <c r="P44" i="12"/>
  <c r="J44" i="12"/>
  <c r="E44" i="12"/>
  <c r="P43" i="12"/>
  <c r="J43" i="12"/>
  <c r="E43" i="12"/>
  <c r="P42" i="12"/>
  <c r="J42" i="12"/>
  <c r="E42" i="12"/>
  <c r="P41" i="12"/>
  <c r="J41" i="12"/>
  <c r="E41" i="12"/>
  <c r="P40" i="12"/>
  <c r="J40" i="12"/>
  <c r="E40" i="12"/>
  <c r="P39" i="12"/>
  <c r="J39" i="12"/>
  <c r="E39" i="12"/>
  <c r="P38" i="12"/>
  <c r="J38" i="12"/>
  <c r="E38" i="12"/>
  <c r="P37" i="12"/>
  <c r="J37" i="12"/>
  <c r="E37" i="12"/>
  <c r="P36" i="12"/>
  <c r="J36" i="12"/>
  <c r="E36" i="12"/>
  <c r="P35" i="12"/>
  <c r="J35" i="12"/>
  <c r="E35" i="12"/>
  <c r="P34" i="12"/>
  <c r="J34" i="12"/>
  <c r="E34" i="12"/>
  <c r="P33" i="12"/>
  <c r="J33" i="12"/>
  <c r="E33" i="12"/>
  <c r="P32" i="12"/>
  <c r="J32" i="12"/>
  <c r="E32" i="12"/>
  <c r="P31" i="12"/>
  <c r="J31" i="12"/>
  <c r="E31" i="12"/>
  <c r="P30" i="12"/>
  <c r="J30" i="12"/>
  <c r="E30" i="12"/>
  <c r="P29" i="12"/>
  <c r="J29" i="12"/>
  <c r="E29" i="12"/>
  <c r="P28" i="12"/>
  <c r="J28" i="12"/>
  <c r="E28" i="12"/>
  <c r="P27" i="12"/>
  <c r="J27" i="12"/>
  <c r="E27" i="12"/>
  <c r="P26" i="12"/>
  <c r="J26" i="12"/>
  <c r="E26" i="12"/>
  <c r="P25" i="12"/>
  <c r="J25" i="12"/>
  <c r="E25" i="12"/>
  <c r="P24" i="12"/>
  <c r="J24" i="12"/>
  <c r="E24" i="12"/>
  <c r="P23" i="12"/>
  <c r="J23" i="12"/>
  <c r="E23" i="12"/>
  <c r="P22" i="12"/>
  <c r="J22" i="12"/>
  <c r="E22" i="12"/>
  <c r="P21" i="12"/>
  <c r="J21" i="12"/>
  <c r="E21" i="12"/>
  <c r="P20" i="12"/>
  <c r="J20" i="12"/>
  <c r="E20" i="12"/>
  <c r="G52" i="11"/>
  <c r="G60" i="32" l="1"/>
  <c r="G61" i="28"/>
  <c r="L61" i="28"/>
  <c r="G61" i="25"/>
  <c r="K61" i="25"/>
  <c r="G61" i="29"/>
  <c r="J61" i="29"/>
  <c r="G60" i="34"/>
  <c r="G61" i="33"/>
  <c r="G61" i="34"/>
  <c r="G61" i="32"/>
  <c r="G61" i="30"/>
  <c r="G60" i="24"/>
  <c r="G60" i="30"/>
  <c r="G60" i="25"/>
  <c r="G60" i="31"/>
  <c r="C32" i="11"/>
  <c r="D32" i="11"/>
  <c r="G42" i="11"/>
  <c r="G62" i="33"/>
  <c r="G62" i="31"/>
  <c r="G61" i="31"/>
  <c r="G61" i="27"/>
  <c r="G60" i="33"/>
  <c r="G60" i="26"/>
  <c r="G41" i="11"/>
  <c r="G60" i="27"/>
  <c r="G60" i="28"/>
  <c r="G60" i="29"/>
  <c r="L32" i="11"/>
  <c r="B32" i="11"/>
  <c r="I32" i="11"/>
  <c r="M32" i="11"/>
  <c r="N32" i="11"/>
  <c r="F32" i="11"/>
  <c r="Q26" i="33"/>
  <c r="Q38" i="33"/>
  <c r="E51" i="33"/>
  <c r="R24" i="33"/>
  <c r="Q30" i="33"/>
  <c r="Q50" i="33"/>
  <c r="R25" i="33"/>
  <c r="R26" i="33"/>
  <c r="Q27" i="33"/>
  <c r="Q32" i="33"/>
  <c r="R37" i="33"/>
  <c r="R38" i="33"/>
  <c r="Q39" i="33"/>
  <c r="Q42" i="33"/>
  <c r="R44" i="33"/>
  <c r="R22" i="32"/>
  <c r="Q23" i="32"/>
  <c r="R27" i="32"/>
  <c r="Q28" i="32"/>
  <c r="Q29" i="32"/>
  <c r="R31" i="32"/>
  <c r="Q32" i="32"/>
  <c r="R35" i="32"/>
  <c r="Q36" i="32"/>
  <c r="R21" i="32"/>
  <c r="Q22" i="32"/>
  <c r="R25" i="32"/>
  <c r="R26" i="32"/>
  <c r="Q27" i="32"/>
  <c r="R30" i="32"/>
  <c r="Q31" i="32"/>
  <c r="R38" i="32"/>
  <c r="Q39" i="32"/>
  <c r="R43" i="32"/>
  <c r="Q44" i="32"/>
  <c r="R47" i="32"/>
  <c r="Q48" i="32"/>
  <c r="J51" i="32"/>
  <c r="P51" i="32"/>
  <c r="R23" i="32"/>
  <c r="Q24" i="32"/>
  <c r="R28" i="32"/>
  <c r="Q30" i="32"/>
  <c r="R33" i="32"/>
  <c r="R34" i="32"/>
  <c r="Q35" i="32"/>
  <c r="R39" i="32"/>
  <c r="Q40" i="32"/>
  <c r="R44" i="32"/>
  <c r="Q46" i="32"/>
  <c r="R49" i="32"/>
  <c r="R50" i="32"/>
  <c r="Q26" i="31"/>
  <c r="R32" i="31"/>
  <c r="Q34" i="31"/>
  <c r="R40" i="31"/>
  <c r="Q42" i="31"/>
  <c r="R44" i="31"/>
  <c r="Q45" i="31"/>
  <c r="R48" i="31"/>
  <c r="R35" i="31"/>
  <c r="Q36" i="31"/>
  <c r="E51" i="31"/>
  <c r="E28" i="11" s="1"/>
  <c r="Q21" i="31"/>
  <c r="R25" i="31"/>
  <c r="Q35" i="31"/>
  <c r="Q39" i="31"/>
  <c r="Q41" i="31"/>
  <c r="R43" i="31"/>
  <c r="Q44" i="31"/>
  <c r="Q50" i="31"/>
  <c r="R28" i="31"/>
  <c r="Q29" i="31"/>
  <c r="R33" i="31"/>
  <c r="R37" i="31"/>
  <c r="R42" i="31"/>
  <c r="Q43" i="31"/>
  <c r="R46" i="31"/>
  <c r="Q47" i="31"/>
  <c r="Q49" i="31"/>
  <c r="R22" i="31"/>
  <c r="Q23" i="31"/>
  <c r="R27" i="31"/>
  <c r="Q28" i="31"/>
  <c r="R36" i="31"/>
  <c r="Q37" i="31"/>
  <c r="R41" i="31"/>
  <c r="R45" i="31"/>
  <c r="R50" i="31"/>
  <c r="Q30" i="31"/>
  <c r="Q38" i="31"/>
  <c r="Q46" i="31"/>
  <c r="R20" i="31"/>
  <c r="R23" i="31"/>
  <c r="Q24" i="31"/>
  <c r="R31" i="31"/>
  <c r="Q32" i="31"/>
  <c r="R39" i="31"/>
  <c r="Q40" i="31"/>
  <c r="R47" i="31"/>
  <c r="Q48" i="31"/>
  <c r="Q33" i="30"/>
  <c r="Q37" i="30"/>
  <c r="R23" i="30"/>
  <c r="Q24" i="30"/>
  <c r="R35" i="30"/>
  <c r="Q36" i="30"/>
  <c r="R39" i="30"/>
  <c r="R32" i="30"/>
  <c r="R25" i="30"/>
  <c r="R26" i="30"/>
  <c r="R42" i="30"/>
  <c r="R20" i="30"/>
  <c r="R51" i="30" s="1"/>
  <c r="Q40" i="30"/>
  <c r="Q29" i="30"/>
  <c r="R33" i="30"/>
  <c r="R34" i="30"/>
  <c r="Q45" i="30"/>
  <c r="R49" i="30"/>
  <c r="R50" i="30"/>
  <c r="R27" i="30"/>
  <c r="Q28" i="30"/>
  <c r="R31" i="30"/>
  <c r="Q32" i="30"/>
  <c r="R43" i="30"/>
  <c r="Q44" i="30"/>
  <c r="R47" i="30"/>
  <c r="Q48" i="30"/>
  <c r="R28" i="30"/>
  <c r="R36" i="30"/>
  <c r="R44" i="30"/>
  <c r="P51" i="30"/>
  <c r="Q30" i="30"/>
  <c r="Q38" i="30"/>
  <c r="Q46" i="30"/>
  <c r="E51" i="30"/>
  <c r="R21" i="30"/>
  <c r="R22" i="30"/>
  <c r="Q26" i="30"/>
  <c r="R29" i="30"/>
  <c r="R30" i="30"/>
  <c r="Q34" i="30"/>
  <c r="R37" i="30"/>
  <c r="R38" i="30"/>
  <c r="Q42" i="30"/>
  <c r="R45" i="30"/>
  <c r="R46" i="30"/>
  <c r="Q50" i="30"/>
  <c r="R27" i="29"/>
  <c r="Q28" i="29"/>
  <c r="R22" i="29"/>
  <c r="Q23" i="29"/>
  <c r="R42" i="29"/>
  <c r="Q43" i="29"/>
  <c r="R50" i="29"/>
  <c r="Q45" i="29"/>
  <c r="R37" i="29"/>
  <c r="R41" i="29"/>
  <c r="R49" i="29"/>
  <c r="Q21" i="29"/>
  <c r="Q25" i="29"/>
  <c r="R32" i="29"/>
  <c r="Q33" i="29"/>
  <c r="R36" i="29"/>
  <c r="Q37" i="29"/>
  <c r="Q41" i="29"/>
  <c r="R48" i="29"/>
  <c r="Q49" i="29"/>
  <c r="Q29" i="29"/>
  <c r="R31" i="29"/>
  <c r="Q32" i="29"/>
  <c r="Q42" i="29"/>
  <c r="Q46" i="29"/>
  <c r="Q26" i="29"/>
  <c r="Q30" i="29"/>
  <c r="R21" i="29"/>
  <c r="R25" i="29"/>
  <c r="R26" i="29"/>
  <c r="Q27" i="29"/>
  <c r="R38" i="29"/>
  <c r="Q39" i="29"/>
  <c r="R43" i="29"/>
  <c r="Q44" i="29"/>
  <c r="R47" i="29"/>
  <c r="Q48" i="29"/>
  <c r="E51" i="29"/>
  <c r="Q34" i="29"/>
  <c r="J51" i="29"/>
  <c r="P51" i="29"/>
  <c r="R24" i="29"/>
  <c r="R29" i="29"/>
  <c r="R30" i="29"/>
  <c r="Q31" i="29"/>
  <c r="R35" i="29"/>
  <c r="Q36" i="29"/>
  <c r="Q38" i="29"/>
  <c r="R40" i="29"/>
  <c r="R45" i="29"/>
  <c r="R46" i="29"/>
  <c r="Q47" i="29"/>
  <c r="Q50" i="29"/>
  <c r="R23" i="29"/>
  <c r="Q24" i="29"/>
  <c r="R28" i="29"/>
  <c r="R33" i="29"/>
  <c r="R34" i="29"/>
  <c r="Q35" i="29"/>
  <c r="R39" i="29"/>
  <c r="Q40" i="29"/>
  <c r="R44" i="29"/>
  <c r="R26" i="28"/>
  <c r="Q27" i="28"/>
  <c r="R30" i="28"/>
  <c r="Q31" i="28"/>
  <c r="R34" i="28"/>
  <c r="Q35" i="28"/>
  <c r="R42" i="28"/>
  <c r="Q43" i="28"/>
  <c r="Q29" i="28"/>
  <c r="R25" i="28"/>
  <c r="R29" i="28"/>
  <c r="R49" i="28"/>
  <c r="Q34" i="28"/>
  <c r="R36" i="28"/>
  <c r="Q37" i="28"/>
  <c r="R40" i="28"/>
  <c r="Q41" i="28"/>
  <c r="R44" i="28"/>
  <c r="Q45" i="28"/>
  <c r="R23" i="28"/>
  <c r="Q24" i="28"/>
  <c r="R31" i="28"/>
  <c r="Q32" i="28"/>
  <c r="R35" i="28"/>
  <c r="Q36" i="28"/>
  <c r="R39" i="28"/>
  <c r="Q40" i="28"/>
  <c r="R47" i="28"/>
  <c r="Q48" i="28"/>
  <c r="Q33" i="28"/>
  <c r="Q50" i="28"/>
  <c r="Q49" i="28"/>
  <c r="E51" i="28"/>
  <c r="Q21" i="28"/>
  <c r="R24" i="28"/>
  <c r="Q25" i="28"/>
  <c r="R28" i="28"/>
  <c r="R33" i="28"/>
  <c r="R41" i="28"/>
  <c r="R45" i="28"/>
  <c r="R46" i="28"/>
  <c r="Q47" i="28"/>
  <c r="R50" i="28"/>
  <c r="J51" i="28"/>
  <c r="P51" i="28"/>
  <c r="Q38" i="28"/>
  <c r="Q26" i="28"/>
  <c r="Q42" i="28"/>
  <c r="R21" i="28"/>
  <c r="R22" i="28"/>
  <c r="Q23" i="28"/>
  <c r="R27" i="28"/>
  <c r="Q28" i="28"/>
  <c r="Q30" i="28"/>
  <c r="R32" i="28"/>
  <c r="R37" i="28"/>
  <c r="R38" i="28"/>
  <c r="Q39" i="28"/>
  <c r="R43" i="28"/>
  <c r="Q44" i="28"/>
  <c r="Q46" i="28"/>
  <c r="R48" i="28"/>
  <c r="Q49" i="27"/>
  <c r="R32" i="27"/>
  <c r="Q37" i="27"/>
  <c r="R40" i="27"/>
  <c r="Q41" i="27"/>
  <c r="R48" i="27"/>
  <c r="Q24" i="27"/>
  <c r="R26" i="27"/>
  <c r="Q27" i="27"/>
  <c r="Q33" i="27"/>
  <c r="Q36" i="27"/>
  <c r="Q40" i="27"/>
  <c r="R25" i="27"/>
  <c r="R42" i="27"/>
  <c r="Q43" i="27"/>
  <c r="Q21" i="27"/>
  <c r="R24" i="27"/>
  <c r="Q25" i="27"/>
  <c r="R41" i="27"/>
  <c r="R20" i="27"/>
  <c r="Q29" i="27"/>
  <c r="R33" i="27"/>
  <c r="R34" i="27"/>
  <c r="Q35" i="27"/>
  <c r="Q45" i="27"/>
  <c r="R49" i="27"/>
  <c r="R50" i="27"/>
  <c r="Q28" i="27"/>
  <c r="Q32" i="27"/>
  <c r="Q44" i="27"/>
  <c r="Q48" i="27"/>
  <c r="P51" i="27"/>
  <c r="Q30" i="27"/>
  <c r="Q38" i="27"/>
  <c r="Q46" i="27"/>
  <c r="R28" i="27"/>
  <c r="R36" i="27"/>
  <c r="R44" i="27"/>
  <c r="E51" i="27"/>
  <c r="R21" i="27"/>
  <c r="R22" i="27"/>
  <c r="Q23" i="27"/>
  <c r="Q26" i="27"/>
  <c r="R29" i="27"/>
  <c r="R30" i="27"/>
  <c r="Q31" i="27"/>
  <c r="Q34" i="27"/>
  <c r="R37" i="27"/>
  <c r="R38" i="27"/>
  <c r="Q39" i="27"/>
  <c r="Q42" i="27"/>
  <c r="R45" i="27"/>
  <c r="R46" i="27"/>
  <c r="Q47" i="27"/>
  <c r="Q50" i="27"/>
  <c r="R32" i="26"/>
  <c r="Q41" i="26"/>
  <c r="R48" i="26"/>
  <c r="Q49" i="26"/>
  <c r="R22" i="26"/>
  <c r="Q23" i="26"/>
  <c r="R30" i="26"/>
  <c r="Q31" i="26"/>
  <c r="Q33" i="26"/>
  <c r="R40" i="26"/>
  <c r="R21" i="26"/>
  <c r="R29" i="26"/>
  <c r="Q21" i="26"/>
  <c r="R24" i="26"/>
  <c r="Q25" i="26"/>
  <c r="R28" i="26"/>
  <c r="Q29" i="26"/>
  <c r="R49" i="26"/>
  <c r="Q42" i="26"/>
  <c r="Q45" i="26"/>
  <c r="Q24" i="26"/>
  <c r="Q34" i="26"/>
  <c r="R36" i="26"/>
  <c r="Q37" i="26"/>
  <c r="R41" i="26"/>
  <c r="R42" i="26"/>
  <c r="Q43" i="26"/>
  <c r="R50" i="26"/>
  <c r="Q46" i="26"/>
  <c r="Q26" i="26"/>
  <c r="Q38" i="26"/>
  <c r="E51" i="26"/>
  <c r="R27" i="26"/>
  <c r="Q28" i="26"/>
  <c r="Q30" i="26"/>
  <c r="R33" i="26"/>
  <c r="R34" i="26"/>
  <c r="Q35" i="26"/>
  <c r="Q40" i="26"/>
  <c r="R45" i="26"/>
  <c r="R46" i="26"/>
  <c r="Q47" i="26"/>
  <c r="Q50" i="26"/>
  <c r="R25" i="26"/>
  <c r="R26" i="26"/>
  <c r="Q27" i="26"/>
  <c r="Q32" i="26"/>
  <c r="R37" i="26"/>
  <c r="R38" i="26"/>
  <c r="Q39" i="26"/>
  <c r="R44" i="26"/>
  <c r="R24" i="25"/>
  <c r="Q25" i="25"/>
  <c r="R28" i="25"/>
  <c r="R32" i="25"/>
  <c r="R44" i="25"/>
  <c r="R22" i="25"/>
  <c r="Q23" i="25"/>
  <c r="R26" i="25"/>
  <c r="Q27" i="25"/>
  <c r="R37" i="25"/>
  <c r="R41" i="25"/>
  <c r="R46" i="25"/>
  <c r="R50" i="25"/>
  <c r="Q33" i="25"/>
  <c r="R36" i="25"/>
  <c r="R40" i="25"/>
  <c r="Q41" i="25"/>
  <c r="R45" i="25"/>
  <c r="R49" i="25"/>
  <c r="Q24" i="25"/>
  <c r="Q32" i="25"/>
  <c r="R20" i="25"/>
  <c r="R29" i="25"/>
  <c r="R33" i="25"/>
  <c r="R38" i="25"/>
  <c r="Q39" i="25"/>
  <c r="R42" i="25"/>
  <c r="Q43" i="25"/>
  <c r="Q45" i="25"/>
  <c r="Q48" i="25"/>
  <c r="Q21" i="25"/>
  <c r="Q30" i="25"/>
  <c r="Q29" i="25"/>
  <c r="Q38" i="25"/>
  <c r="R21" i="25"/>
  <c r="R25" i="25"/>
  <c r="R30" i="25"/>
  <c r="Q31" i="25"/>
  <c r="R34" i="25"/>
  <c r="Q35" i="25"/>
  <c r="Q37" i="25"/>
  <c r="Q40" i="25"/>
  <c r="Q46" i="25"/>
  <c r="R48" i="25"/>
  <c r="Q49" i="25"/>
  <c r="P51" i="25"/>
  <c r="E51" i="25"/>
  <c r="Q26" i="25"/>
  <c r="Q34" i="25"/>
  <c r="Q42" i="25"/>
  <c r="Q47" i="25"/>
  <c r="Q50" i="25"/>
  <c r="Q28" i="25"/>
  <c r="Q36" i="25"/>
  <c r="Q44" i="25"/>
  <c r="R36" i="24"/>
  <c r="R39" i="24"/>
  <c r="Q40" i="24"/>
  <c r="R20" i="24"/>
  <c r="R30" i="24"/>
  <c r="Q31" i="24"/>
  <c r="Q37" i="24"/>
  <c r="R29" i="24"/>
  <c r="R46" i="24"/>
  <c r="Q47" i="24"/>
  <c r="R24" i="24"/>
  <c r="Q25" i="24"/>
  <c r="R28" i="24"/>
  <c r="Q29" i="24"/>
  <c r="R45" i="24"/>
  <c r="Q21" i="24"/>
  <c r="R23" i="24"/>
  <c r="Q24" i="24"/>
  <c r="Q38" i="24"/>
  <c r="R40" i="24"/>
  <c r="Q41" i="24"/>
  <c r="R44" i="24"/>
  <c r="Q45" i="24"/>
  <c r="R21" i="24"/>
  <c r="R22" i="24"/>
  <c r="Q23" i="24"/>
  <c r="Q30" i="24"/>
  <c r="R32" i="24"/>
  <c r="Q33" i="24"/>
  <c r="R37" i="24"/>
  <c r="R38" i="24"/>
  <c r="Q39" i="24"/>
  <c r="Q46" i="24"/>
  <c r="R48" i="24"/>
  <c r="Q49" i="24"/>
  <c r="R31" i="24"/>
  <c r="Q32" i="24"/>
  <c r="R47" i="24"/>
  <c r="Q48" i="24"/>
  <c r="E51" i="24"/>
  <c r="Q34" i="24"/>
  <c r="Q50" i="24"/>
  <c r="R27" i="24"/>
  <c r="Q28" i="24"/>
  <c r="R35" i="24"/>
  <c r="Q36" i="24"/>
  <c r="R43" i="24"/>
  <c r="Q44" i="24"/>
  <c r="Q26" i="24"/>
  <c r="Q42" i="24"/>
  <c r="R25" i="24"/>
  <c r="R26" i="24"/>
  <c r="Q27" i="24"/>
  <c r="R33" i="24"/>
  <c r="R34" i="24"/>
  <c r="Q35" i="24"/>
  <c r="R41" i="24"/>
  <c r="R42" i="24"/>
  <c r="Q43" i="24"/>
  <c r="R49" i="24"/>
  <c r="R50" i="24"/>
  <c r="R26" i="12"/>
  <c r="Q27" i="12"/>
  <c r="R30" i="12"/>
  <c r="Q31" i="12"/>
  <c r="R38" i="12"/>
  <c r="Q39" i="12"/>
  <c r="Q22" i="12"/>
  <c r="R25" i="12"/>
  <c r="Q26" i="12"/>
  <c r="R29" i="12"/>
  <c r="Q42" i="12"/>
  <c r="Q46" i="12"/>
  <c r="R49" i="12"/>
  <c r="Q50" i="12"/>
  <c r="Q33" i="12"/>
  <c r="R36" i="12"/>
  <c r="Q37" i="12"/>
  <c r="R40" i="12"/>
  <c r="Q41" i="12"/>
  <c r="Q45" i="12"/>
  <c r="R48" i="12"/>
  <c r="Q49" i="12"/>
  <c r="R23" i="12"/>
  <c r="Q24" i="12"/>
  <c r="Q29" i="12"/>
  <c r="R31" i="12"/>
  <c r="R35" i="12"/>
  <c r="Q36" i="12"/>
  <c r="R43" i="12"/>
  <c r="Q44" i="12"/>
  <c r="R47" i="12"/>
  <c r="Q48" i="12"/>
  <c r="R32" i="12"/>
  <c r="E51" i="12"/>
  <c r="E20" i="11" s="1"/>
  <c r="Q21" i="12"/>
  <c r="R24" i="12"/>
  <c r="Q25" i="12"/>
  <c r="R28" i="12"/>
  <c r="Q30" i="12"/>
  <c r="Q34" i="12"/>
  <c r="R37" i="12"/>
  <c r="Q38" i="12"/>
  <c r="R41" i="12"/>
  <c r="R42" i="12"/>
  <c r="Q43" i="12"/>
  <c r="R50" i="12"/>
  <c r="J51" i="12"/>
  <c r="J20" i="11" s="1"/>
  <c r="J32" i="11" s="1"/>
  <c r="Q32" i="12"/>
  <c r="P51" i="12"/>
  <c r="P20" i="11" s="1"/>
  <c r="P32" i="11" s="1"/>
  <c r="R44" i="12"/>
  <c r="R21" i="12"/>
  <c r="R22" i="12"/>
  <c r="Q23" i="12"/>
  <c r="R27" i="12"/>
  <c r="Q28" i="12"/>
  <c r="R33" i="12"/>
  <c r="R34" i="12"/>
  <c r="Q35" i="12"/>
  <c r="R39" i="12"/>
  <c r="Q40" i="12"/>
  <c r="R45" i="12"/>
  <c r="R46" i="12"/>
  <c r="Q47" i="12"/>
  <c r="R20" i="34"/>
  <c r="R51" i="34" s="1"/>
  <c r="Q22" i="34"/>
  <c r="Q20" i="34"/>
  <c r="Q51" i="34" s="1"/>
  <c r="P51" i="33"/>
  <c r="Q22" i="33"/>
  <c r="J51" i="33"/>
  <c r="R20" i="33"/>
  <c r="R23" i="33"/>
  <c r="R31" i="33"/>
  <c r="R39" i="33"/>
  <c r="R47" i="33"/>
  <c r="Q20" i="33"/>
  <c r="E51" i="32"/>
  <c r="E29" i="11" s="1"/>
  <c r="Q20" i="32"/>
  <c r="J51" i="31"/>
  <c r="P51" i="31"/>
  <c r="Q22" i="31"/>
  <c r="Q20" i="31"/>
  <c r="Q22" i="30"/>
  <c r="J51" i="30"/>
  <c r="Q20" i="30"/>
  <c r="Q23" i="30"/>
  <c r="Q27" i="30"/>
  <c r="Q31" i="30"/>
  <c r="Q35" i="30"/>
  <c r="Q39" i="30"/>
  <c r="Q43" i="30"/>
  <c r="Q47" i="30"/>
  <c r="R20" i="29"/>
  <c r="Q22" i="29"/>
  <c r="Q20" i="29"/>
  <c r="R20" i="28"/>
  <c r="Q22" i="28"/>
  <c r="Q20" i="28"/>
  <c r="Q22" i="27"/>
  <c r="J51" i="27"/>
  <c r="Q20" i="27"/>
  <c r="R23" i="27"/>
  <c r="R27" i="27"/>
  <c r="R31" i="27"/>
  <c r="R35" i="27"/>
  <c r="R39" i="27"/>
  <c r="R43" i="27"/>
  <c r="R47" i="27"/>
  <c r="P51" i="26"/>
  <c r="Q22" i="26"/>
  <c r="J51" i="26"/>
  <c r="R20" i="26"/>
  <c r="R23" i="26"/>
  <c r="R31" i="26"/>
  <c r="R39" i="26"/>
  <c r="R47" i="26"/>
  <c r="Q20" i="26"/>
  <c r="Q22" i="25"/>
  <c r="J51" i="25"/>
  <c r="Q20" i="25"/>
  <c r="R23" i="25"/>
  <c r="R27" i="25"/>
  <c r="R31" i="25"/>
  <c r="R35" i="25"/>
  <c r="R39" i="25"/>
  <c r="R43" i="25"/>
  <c r="R47" i="25"/>
  <c r="J51" i="24"/>
  <c r="P51" i="24"/>
  <c r="Q22" i="24"/>
  <c r="Q20" i="24"/>
  <c r="R20" i="12"/>
  <c r="Q20" i="12"/>
  <c r="J71" i="34" l="1"/>
  <c r="R31" i="11"/>
  <c r="E32" i="11"/>
  <c r="R51" i="33"/>
  <c r="R51" i="32"/>
  <c r="R29" i="11" s="1"/>
  <c r="Q51" i="32"/>
  <c r="R51" i="31"/>
  <c r="R28" i="11" s="1"/>
  <c r="Q51" i="31"/>
  <c r="Q51" i="29"/>
  <c r="R51" i="29"/>
  <c r="Q51" i="28"/>
  <c r="R51" i="28"/>
  <c r="Q51" i="27"/>
  <c r="R51" i="27"/>
  <c r="R51" i="26"/>
  <c r="R51" i="25"/>
  <c r="Q51" i="25"/>
  <c r="R51" i="24"/>
  <c r="N61" i="24"/>
  <c r="K61" i="24"/>
  <c r="M61" i="24"/>
  <c r="L61" i="24"/>
  <c r="Q51" i="24"/>
  <c r="Q51" i="12"/>
  <c r="Q20" i="11" s="1"/>
  <c r="Q32" i="11" s="1"/>
  <c r="R51" i="12"/>
  <c r="K71" i="34"/>
  <c r="M71" i="34"/>
  <c r="N71" i="34"/>
  <c r="L71" i="34"/>
  <c r="N70" i="33"/>
  <c r="L70" i="33"/>
  <c r="K70" i="33"/>
  <c r="M70" i="33"/>
  <c r="Q51" i="33"/>
  <c r="N69" i="32"/>
  <c r="L69" i="32"/>
  <c r="K69" i="32"/>
  <c r="O68" i="32"/>
  <c r="Q51" i="30"/>
  <c r="K67" i="30"/>
  <c r="N67" i="30"/>
  <c r="M67" i="30"/>
  <c r="L67" i="30"/>
  <c r="O61" i="30"/>
  <c r="L66" i="29"/>
  <c r="M66" i="29"/>
  <c r="K65" i="28"/>
  <c r="O61" i="28"/>
  <c r="L64" i="27"/>
  <c r="K64" i="27"/>
  <c r="N64" i="27"/>
  <c r="M64" i="27"/>
  <c r="K63" i="26"/>
  <c r="O62" i="26"/>
  <c r="M63" i="26"/>
  <c r="O61" i="26"/>
  <c r="L63" i="26"/>
  <c r="N63" i="26"/>
  <c r="Q51" i="26"/>
  <c r="K52" i="11" l="1"/>
  <c r="M52" i="11"/>
  <c r="J52" i="11"/>
  <c r="N52" i="11"/>
  <c r="L52" i="11"/>
  <c r="O71" i="34"/>
  <c r="M60" i="34"/>
  <c r="L60" i="33"/>
  <c r="N60" i="32"/>
  <c r="J60" i="32"/>
  <c r="K60" i="31"/>
  <c r="K60" i="30"/>
  <c r="N60" i="29"/>
  <c r="J60" i="29"/>
  <c r="K60" i="28"/>
  <c r="K60" i="27"/>
  <c r="N60" i="26"/>
  <c r="J60" i="26"/>
  <c r="L60" i="25"/>
  <c r="M60" i="24"/>
  <c r="K60" i="34"/>
  <c r="J60" i="33"/>
  <c r="M60" i="31"/>
  <c r="M60" i="30"/>
  <c r="M60" i="28"/>
  <c r="L60" i="26"/>
  <c r="J60" i="25"/>
  <c r="N60" i="34"/>
  <c r="M60" i="33"/>
  <c r="K60" i="32"/>
  <c r="K60" i="29"/>
  <c r="K60" i="26"/>
  <c r="N60" i="24"/>
  <c r="L60" i="34"/>
  <c r="K60" i="33"/>
  <c r="M60" i="32"/>
  <c r="N60" i="31"/>
  <c r="J60" i="31"/>
  <c r="N60" i="30"/>
  <c r="J60" i="30"/>
  <c r="M60" i="29"/>
  <c r="N60" i="28"/>
  <c r="J60" i="28"/>
  <c r="N60" i="27"/>
  <c r="J60" i="27"/>
  <c r="M60" i="26"/>
  <c r="K60" i="25"/>
  <c r="L60" i="24"/>
  <c r="J60" i="12"/>
  <c r="N60" i="33"/>
  <c r="L60" i="29"/>
  <c r="K60" i="24"/>
  <c r="L60" i="28"/>
  <c r="J60" i="24"/>
  <c r="L60" i="32"/>
  <c r="M60" i="27"/>
  <c r="N60" i="25"/>
  <c r="J60" i="34"/>
  <c r="L60" i="31"/>
  <c r="L60" i="30"/>
  <c r="L60" i="27"/>
  <c r="M60" i="25"/>
  <c r="O61" i="27"/>
  <c r="O61" i="25"/>
  <c r="O61" i="33"/>
  <c r="O61" i="29"/>
  <c r="O61" i="34"/>
  <c r="O61" i="24"/>
  <c r="K60" i="12"/>
  <c r="R20" i="11"/>
  <c r="O65" i="32"/>
  <c r="O67" i="32"/>
  <c r="O61" i="32"/>
  <c r="O63" i="32"/>
  <c r="O62" i="32"/>
  <c r="O64" i="32"/>
  <c r="O66" i="32"/>
  <c r="M69" i="32"/>
  <c r="O69" i="32" s="1"/>
  <c r="N68" i="31"/>
  <c r="K68" i="31"/>
  <c r="M68" i="31"/>
  <c r="L68" i="31"/>
  <c r="K66" i="29"/>
  <c r="N66" i="29"/>
  <c r="L65" i="28"/>
  <c r="N65" i="28"/>
  <c r="M65" i="28"/>
  <c r="M62" i="25"/>
  <c r="N62" i="25"/>
  <c r="O62" i="25" s="1"/>
  <c r="K62" i="25"/>
  <c r="L62" i="25"/>
  <c r="N60" i="12"/>
  <c r="L60" i="12"/>
  <c r="M60" i="12"/>
  <c r="O60" i="24" l="1"/>
  <c r="O60" i="27"/>
  <c r="O60" i="32"/>
  <c r="O60" i="26"/>
  <c r="O60" i="30"/>
  <c r="O60" i="33"/>
  <c r="O60" i="25"/>
  <c r="L41" i="11"/>
  <c r="J41" i="11"/>
  <c r="M41" i="11"/>
  <c r="N41" i="11"/>
  <c r="K41" i="11"/>
  <c r="O60" i="34"/>
  <c r="R32" i="11"/>
  <c r="O60" i="12"/>
  <c r="O61" i="31"/>
  <c r="O60" i="28"/>
  <c r="O60" i="29"/>
  <c r="O60" i="31"/>
  <c r="O50" i="11"/>
  <c r="O46" i="11"/>
  <c r="O42" i="11" l="1"/>
  <c r="O52" i="11"/>
  <c r="O45" i="11"/>
  <c r="O49" i="11"/>
  <c r="O51" i="11"/>
  <c r="O47" i="11"/>
  <c r="O48" i="11"/>
  <c r="O41" i="11"/>
  <c r="O44" i="11"/>
  <c r="O43" i="11"/>
</calcChain>
</file>

<file path=xl/sharedStrings.xml><?xml version="1.0" encoding="utf-8"?>
<sst xmlns="http://schemas.openxmlformats.org/spreadsheetml/2006/main" count="1001" uniqueCount="142">
  <si>
    <t>FORMATO REGISTRO ANUAL DE GENERACION DE RESIDUOS GENERADOS EN LA ATENCION EN SALUD Y OTRAS ACTIVIDADES</t>
  </si>
  <si>
    <t>1.  Nombre de la institucion:</t>
  </si>
  <si>
    <t>6. Correo Electronico</t>
  </si>
  <si>
    <t>2. Ciudad</t>
  </si>
  <si>
    <t>7. Responsable del diligenciamiento</t>
  </si>
  <si>
    <t>3. Departamento</t>
  </si>
  <si>
    <t>8. Cargo</t>
  </si>
  <si>
    <t>4. Direccion</t>
  </si>
  <si>
    <t>9. Mes:</t>
  </si>
  <si>
    <t xml:space="preserve">5. Telefono </t>
  </si>
  <si>
    <t xml:space="preserve"> </t>
  </si>
  <si>
    <t>CONSOLIDACION RESIDUOS POR DTS</t>
  </si>
  <si>
    <t>DÍA</t>
  </si>
  <si>
    <t xml:space="preserve">RESIDUOS NO PELIGROS </t>
  </si>
  <si>
    <t>Subtotal Residuos no peligrosos</t>
  </si>
  <si>
    <t>RESIDUOS PELIGROSOS</t>
  </si>
  <si>
    <t>Subtotal Residuos Peligrosos</t>
  </si>
  <si>
    <t>TOTAL</t>
  </si>
  <si>
    <t>INFECCIOSO O RIESGO BIOLOGICO</t>
  </si>
  <si>
    <t>Subtotal residuos de riesgo biologico o infeccioso</t>
  </si>
  <si>
    <t>OTROS RESIDUOS CON LAS SIGUIENTES CARACTERISTICAS</t>
  </si>
  <si>
    <t xml:space="preserve">Subtotal otros residuos </t>
  </si>
  <si>
    <t>BIODEGRADABLES  (KG/AÑO)</t>
  </si>
  <si>
    <t>RECICLABLES     (KG/AÑO)</t>
  </si>
  <si>
    <t>ORDINARIOS (KG/AÑO)</t>
  </si>
  <si>
    <t>BIOSANITARIOS         (KG/AÑO)</t>
  </si>
  <si>
    <t>ANATOMOPATOLOGICOS  (KG/AÑO)</t>
  </si>
  <si>
    <t>CORTOPUNZANTES (KG/AÑO)</t>
  </si>
  <si>
    <t>ANIMALES (KG/AÑO)</t>
  </si>
  <si>
    <t>CORROSIVA (KG/AÑO)</t>
  </si>
  <si>
    <t>EXPLOSIVO (KG/AÑO)</t>
  </si>
  <si>
    <t>TOXICO (KG/AÑO)</t>
  </si>
  <si>
    <t>INFLAMABLE   (KG/AÑO)</t>
  </si>
  <si>
    <t>REACTIVO  (KG/AÑO)</t>
  </si>
  <si>
    <t xml:space="preserve"> INDICADORES DE DESTINACION</t>
  </si>
  <si>
    <t>AÑO</t>
  </si>
  <si>
    <t>DESTINACIÓN DE RESIDUOS</t>
  </si>
  <si>
    <t>MES</t>
  </si>
  <si>
    <t>INDICADORES DE DESTINACIÓN %</t>
  </si>
  <si>
    <t>INDICADOR TOTAL (%)</t>
  </si>
  <si>
    <t xml:space="preserve"> DESACTIVACION 
(KG/AÑO)</t>
  </si>
  <si>
    <t xml:space="preserve"> RECICLAJE             
(KG/AÑO)</t>
  </si>
  <si>
    <t>INCINERACIÓN
(KG/AÑO)</t>
  </si>
  <si>
    <t>RELLENO SANITARIO
(KG/AÑO)</t>
  </si>
  <si>
    <t>OTROS SISTEMAS DE DISPOSICION FINAL</t>
  </si>
  <si>
    <t>IDD</t>
  </si>
  <si>
    <t>IDR</t>
  </si>
  <si>
    <t>IDI</t>
  </si>
  <si>
    <t>IDRS</t>
  </si>
  <si>
    <t>IDOS</t>
  </si>
  <si>
    <t>Enero</t>
  </si>
  <si>
    <t>IDD: Indicador de destinacion desactivacion de alta eficiencia</t>
  </si>
  <si>
    <t>IDR: Indicador de destinacion para reciclaje</t>
  </si>
  <si>
    <t>IDI: Indicador de destinacion para incineracion</t>
  </si>
  <si>
    <t>IDRS: Indicador de destinacion para relleno sanitario</t>
  </si>
  <si>
    <t>Febrero</t>
  </si>
  <si>
    <t>Marzo</t>
  </si>
  <si>
    <t>Abril</t>
  </si>
  <si>
    <t xml:space="preserve">FORMATO REGISTRO ANUAL DE GENERACION DE RESIDUOS GENERADOS EN LA ATENCION EN SALUD Y OTRAS ACTIVIDADES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</si>
  <si>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</si>
  <si>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</si>
  <si>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</si>
  <si>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</si>
  <si>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</si>
  <si>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</si>
  <si>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</si>
  <si>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</si>
  <si>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9. Fecha de reporte:</t>
  </si>
  <si>
    <t xml:space="preserve">Marzo </t>
  </si>
  <si>
    <t>Instructivo: Formato registro anual de generacion de residuos generados en la atencion en salud y otras actividades</t>
  </si>
  <si>
    <t>SECRETARIA DE DESARROLLO DE LA SALUD DE CÓRDOBA</t>
  </si>
  <si>
    <t>SALUD AMBIENTAL</t>
  </si>
  <si>
    <t>Bloque</t>
  </si>
  <si>
    <t>No.</t>
  </si>
  <si>
    <t>Item</t>
  </si>
  <si>
    <t>Diligenciamiento</t>
  </si>
  <si>
    <t>Información general</t>
  </si>
  <si>
    <t>Nombre del generador de residuos</t>
  </si>
  <si>
    <t>Nombre completo del establecimiento generador de residuos</t>
  </si>
  <si>
    <t>Ciudad</t>
  </si>
  <si>
    <t>Ciudad de ubicación del establecimiento generador de residuos</t>
  </si>
  <si>
    <t>Departamento</t>
  </si>
  <si>
    <t>Departamento de ubicación del establecimiento generador de residuos</t>
  </si>
  <si>
    <t>Direccion</t>
  </si>
  <si>
    <t>Dirección del establecimiento generador de residuos</t>
  </si>
  <si>
    <t>Telefono</t>
  </si>
  <si>
    <t>Teléfono del establecimiento generador de residuos</t>
  </si>
  <si>
    <t>Correo Electronico</t>
  </si>
  <si>
    <t>Correo electrónico del establecimiento generador de residuos</t>
  </si>
  <si>
    <t>Responsable del diligenciamiento</t>
  </si>
  <si>
    <t>Nombre completo del encargado de diligenciar el formulario</t>
  </si>
  <si>
    <t>Cargo</t>
  </si>
  <si>
    <t>Cargo del encargado de diligenciar el formato</t>
  </si>
  <si>
    <t xml:space="preserve">Fecha del reporte </t>
  </si>
  <si>
    <t>Fecha de diligenciamiento del formato</t>
  </si>
  <si>
    <t>Consolidación residuos por DTS</t>
  </si>
  <si>
    <t>Residuos no peligrosos -</t>
  </si>
  <si>
    <t>Biodegradables</t>
  </si>
  <si>
    <t>Cantidad en Kg/año de residuos Biodegradables (residuos orgánicos aprovechables*) generados por el establecimiento de atención en salud y otras actividades</t>
  </si>
  <si>
    <t>Reciclables</t>
  </si>
  <si>
    <t>Cantidad en Kg/año de residuos reciclables (residuos aprovechables*) generados por el establecimiento de atención en salud y otras actividades</t>
  </si>
  <si>
    <t>Ordinarios</t>
  </si>
  <si>
    <t>Cantidad en Kg/año de residuos ordinarios (residios no aprovechables*) generados por el establecimiento de atención en salud y otras actividades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</si>
  <si>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residuos no peligrosos</t>
    </r>
  </si>
  <si>
    <t>Residuos peligrosos riesgo biológico o infeccioso</t>
  </si>
  <si>
    <t>Biosanitarios</t>
  </si>
  <si>
    <t>Cantidad en Kg/año de residuos biosanitarios generados por el establecimiento de atención en salud y otras actividades</t>
  </si>
  <si>
    <t>Cortopunzantes</t>
  </si>
  <si>
    <t>Cantidad en Kg/año de residuos cortopunzantes generados por el establecimiento de atención en salud y otras actividades</t>
  </si>
  <si>
    <t>Anatomopatológicos</t>
  </si>
  <si>
    <t>Animales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</si>
  <si>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residuos de riesgo biológico o infeccioso</t>
    </r>
  </si>
  <si>
    <t>Residuos peligrosos otros residuos con las siguientes características **</t>
  </si>
  <si>
    <t>Corrosivo</t>
  </si>
  <si>
    <t>Cantidad en Kg/año de residuos de característica corrosivo generados por el establecimiento de atención en salud y otras actividades</t>
  </si>
  <si>
    <t>Explosivo</t>
  </si>
  <si>
    <t>Cantidad en Kg/año de residuos de característica explosivo generados por el establecimiento de atención en salud y otras actividades</t>
  </si>
  <si>
    <t>Toxico</t>
  </si>
  <si>
    <t>Cantidad en Kg/año de residuos de característica tóxico generados por el establecimiento de atención en salud y otras actividades</t>
  </si>
  <si>
    <t>Inflamable</t>
  </si>
  <si>
    <t>Cantidad en Kg/año de residuos de característica inflamable generados por el establecimiento de atención en salud y otras actividades</t>
  </si>
  <si>
    <t>Reactivo</t>
  </si>
  <si>
    <t>Cantidad en Kg/año de residuos de característica reactivo generados por el establecimiento de atención en salud y otras actividades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</si>
  <si>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otros residuos</t>
    </r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</si>
  <si>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 residuos peligrosos</t>
    </r>
  </si>
  <si>
    <t>Total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</si>
  <si>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  residuos generados por el establecimiento de atención en salud y otras actividades</t>
    </r>
  </si>
  <si>
    <t>Indicadores de destinación</t>
  </si>
  <si>
    <t>Destinación de residuos</t>
  </si>
  <si>
    <t xml:space="preserve">Desactivación </t>
  </si>
  <si>
    <t>Cantidad en Kg/año de residuos destinados a desactivación</t>
  </si>
  <si>
    <t>Reciclaje</t>
  </si>
  <si>
    <t>Cantidad en Kg/año de residuos destinados a reciclaje (aprovechamiento)</t>
  </si>
  <si>
    <t>Incineración</t>
  </si>
  <si>
    <t>Cantidad en Kg/año de residuos destinados a incineración</t>
  </si>
  <si>
    <t>Relleno sanitario</t>
  </si>
  <si>
    <t>Cantidad en Kg/año de residuos destinados a disposición en relleno sanitario</t>
  </si>
  <si>
    <t>Otros sistemas de disposición final</t>
  </si>
  <si>
    <t>Cantidad en Kg/año de residuos destinados en otros sistemas de disposición final aceptada por la legislación</t>
  </si>
  <si>
    <r>
      <rPr>
        <sz val="11"/>
        <color rgb="FFFF0000"/>
        <rFont val="Arial"/>
        <family val="2"/>
      </rPr>
      <t>Celda formulada que no requiere diligenciar.</t>
    </r>
    <r>
      <rPr>
        <sz val="11"/>
        <rFont val="Arial"/>
        <family val="2"/>
      </rPr>
      <t xml:space="preserve"> Sumatoria de las cantidades destinación de residuos generados por el establecimiento de atención en salud y otras actividades.
</t>
    </r>
    <r>
      <rPr>
        <sz val="11"/>
        <color theme="9" tint="-0.249977111117893"/>
        <rFont val="Arial"/>
        <family val="2"/>
      </rPr>
      <t>Atención: La sumatoria de esta celda deberá ser igual a la sumatoria de las cantidades de residuos generados por el establecimiento de atención en salud y otras actividades (Item no. 26). Si no coinciden los valores la celda se mostrará de color rojo.</t>
    </r>
  </si>
  <si>
    <r>
      <rPr>
        <sz val="11"/>
        <color rgb="FFFF0000"/>
        <rFont val="Arial"/>
        <family val="2"/>
      </rPr>
      <t>Celdas formuladas que no requieren ser diligenciadas.</t>
    </r>
    <r>
      <rPr>
        <sz val="11"/>
        <color rgb="FFFF0066"/>
        <rFont val="Arial"/>
        <family val="2"/>
      </rPr>
      <t xml:space="preserve"> </t>
    </r>
    <r>
      <rPr>
        <sz val="11"/>
        <rFont val="Arial"/>
        <family val="2"/>
      </rPr>
      <t xml:space="preserve">Cálculo
de la cantidad de residuos sometidos a desactivación de alta eficiencia, incineración, reciclaje, disposición en rellenos sanitarios, u otros sistemas de gestión dividido entre la cantidad total de residuos que fueron generados.
</t>
    </r>
    <r>
      <rPr>
        <sz val="11"/>
        <color theme="9" tint="-0.249977111117893"/>
        <rFont val="Arial"/>
        <family val="2"/>
      </rPr>
      <t>Atención: Si el total del indicador de destinación no es 100% la celda se mostrará en color rojo.</t>
    </r>
  </si>
  <si>
    <t>* Titulo 2 del Decreto 1077 de 2015 del MVCT, Resolución 2184 de 2019 del MADS y MVCT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</si>
</sst>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4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name val="Arial"/>
      <family val="2"/>
    </font>
    <font>
      <sz val="11"/>
      <color rgb="FFFF0066"/>
      <name val="Arial"/>
      <family val="2"/>
    </font>
    <font>
      <sz val="11"/>
      <color theme="9" tint="-0.249977111117893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  <font>
      <sz val="14"/>
      <color rgb="FFFF0066"/>
      <name val="Calibri"/>
      <family val="2"/>
      <scheme val="minor"/>
    </font>
    <font>
      <b/>
      <sz val="16"/>
      <color theme="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41" xfId="0" applyFont="1" applyBorder="1" applyAlignment="1" applyProtection="1">
      <alignment horizontal="center" vertical="center"/>
      <protection locked="0"/>
    </xf>
    <xf numFmtId="3" fontId="0" fillId="0" borderId="12" xfId="0" applyNumberFormat="1" applyBorder="1" applyProtection="1">
      <protection locked="0"/>
    </xf>
    <xf numFmtId="3" fontId="0" fillId="0" borderId="13" xfId="0" applyNumberFormat="1" applyBorder="1" applyProtection="1"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3" fontId="0" fillId="0" borderId="5" xfId="0" applyNumberFormat="1" applyBorder="1" applyProtection="1">
      <protection locked="0"/>
    </xf>
    <xf numFmtId="3" fontId="0" fillId="0" borderId="1" xfId="0" applyNumberFormat="1" applyBorder="1" applyProtection="1">
      <protection locked="0"/>
    </xf>
    <xf numFmtId="0" fontId="2" fillId="0" borderId="59" xfId="0" applyFont="1" applyBorder="1" applyAlignment="1" applyProtection="1">
      <alignment horizontal="center" vertical="center"/>
      <protection locked="0"/>
    </xf>
    <xf numFmtId="3" fontId="0" fillId="0" borderId="63" xfId="0" applyNumberFormat="1" applyBorder="1" applyProtection="1">
      <protection locked="0"/>
    </xf>
    <xf numFmtId="3" fontId="0" fillId="0" borderId="64" xfId="0" applyNumberFormat="1" applyBorder="1" applyProtection="1">
      <protection locked="0"/>
    </xf>
    <xf numFmtId="3" fontId="0" fillId="0" borderId="21" xfId="0" applyNumberFormat="1" applyBorder="1" applyProtection="1">
      <protection locked="0"/>
    </xf>
    <xf numFmtId="3" fontId="0" fillId="0" borderId="2" xfId="0" applyNumberFormat="1" applyBorder="1" applyProtection="1">
      <protection locked="0"/>
    </xf>
    <xf numFmtId="3" fontId="0" fillId="0" borderId="65" xfId="0" applyNumberFormat="1" applyBorder="1" applyProtection="1">
      <protection locked="0"/>
    </xf>
    <xf numFmtId="0" fontId="2" fillId="0" borderId="0" xfId="0" applyFont="1" applyProtection="1">
      <protection locked="0"/>
    </xf>
    <xf numFmtId="0" fontId="2" fillId="0" borderId="26" xfId="0" applyFont="1" applyBorder="1" applyProtection="1">
      <protection locked="0"/>
    </xf>
    <xf numFmtId="0" fontId="2" fillId="0" borderId="36" xfId="0" applyFont="1" applyBorder="1" applyProtection="1">
      <protection locked="0"/>
    </xf>
    <xf numFmtId="0" fontId="2" fillId="0" borderId="34" xfId="0" applyFont="1" applyBorder="1" applyProtection="1">
      <protection locked="0"/>
    </xf>
    <xf numFmtId="0" fontId="2" fillId="0" borderId="29" xfId="0" applyFont="1" applyBorder="1" applyProtection="1">
      <protection locked="0"/>
    </xf>
    <xf numFmtId="0" fontId="1" fillId="0" borderId="38" xfId="0" applyFont="1" applyBorder="1" applyAlignment="1" applyProtection="1">
      <alignment horizontal="center"/>
      <protection locked="0"/>
    </xf>
    <xf numFmtId="0" fontId="1" fillId="0" borderId="39" xfId="0" applyFont="1" applyBorder="1" applyAlignment="1" applyProtection="1">
      <alignment horizontal="center"/>
      <protection locked="0"/>
    </xf>
    <xf numFmtId="0" fontId="1" fillId="0" borderId="40" xfId="0" applyFont="1" applyBorder="1" applyAlignment="1" applyProtection="1">
      <alignment horizontal="center"/>
      <protection locked="0"/>
    </xf>
    <xf numFmtId="0" fontId="1" fillId="0" borderId="49" xfId="0" applyFont="1" applyBorder="1" applyAlignment="1" applyProtection="1">
      <alignment horizontal="center"/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37" xfId="0" applyFont="1" applyFill="1" applyBorder="1" applyAlignment="1" applyProtection="1">
      <alignment horizontal="center" vertical="center" wrapText="1"/>
      <protection locked="0"/>
    </xf>
    <xf numFmtId="0" fontId="2" fillId="0" borderId="15" xfId="0" applyFont="1" applyBorder="1" applyProtection="1">
      <protection locked="0"/>
    </xf>
    <xf numFmtId="0" fontId="0" fillId="0" borderId="0" xfId="0" applyProtection="1"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3" fillId="2" borderId="29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vertical="center"/>
      <protection locked="0"/>
    </xf>
    <xf numFmtId="0" fontId="3" fillId="2" borderId="43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27" xfId="0" applyFont="1" applyFill="1" applyBorder="1" applyAlignment="1" applyProtection="1">
      <alignment horizontal="center" vertical="center" wrapText="1"/>
      <protection locked="0"/>
    </xf>
    <xf numFmtId="0" fontId="3" fillId="2" borderId="44" xfId="0" applyFont="1" applyFill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center" vertical="center"/>
      <protection locked="0"/>
    </xf>
    <xf numFmtId="0" fontId="4" fillId="2" borderId="4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3" fontId="2" fillId="0" borderId="5" xfId="0" applyNumberFormat="1" applyFont="1" applyBorder="1" applyProtection="1">
      <protection locked="0"/>
    </xf>
    <xf numFmtId="3" fontId="2" fillId="0" borderId="1" xfId="0" applyNumberFormat="1" applyFont="1" applyBorder="1" applyProtection="1">
      <protection locked="0"/>
    </xf>
    <xf numFmtId="3" fontId="2" fillId="0" borderId="2" xfId="0" applyNumberFormat="1" applyFont="1" applyBorder="1" applyProtection="1"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3" fontId="2" fillId="0" borderId="7" xfId="0" applyNumberFormat="1" applyFont="1" applyBorder="1" applyProtection="1">
      <protection locked="0"/>
    </xf>
    <xf numFmtId="3" fontId="2" fillId="0" borderId="8" xfId="0" applyNumberFormat="1" applyFont="1" applyBorder="1" applyProtection="1">
      <protection locked="0"/>
    </xf>
    <xf numFmtId="3" fontId="2" fillId="0" borderId="37" xfId="0" applyNumberFormat="1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23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5" fillId="0" borderId="24" xfId="0" applyFont="1" applyBorder="1" applyProtection="1">
      <protection locked="0"/>
    </xf>
    <xf numFmtId="0" fontId="2" fillId="0" borderId="25" xfId="0" applyFont="1" applyBorder="1" applyProtection="1">
      <protection locked="0"/>
    </xf>
    <xf numFmtId="3" fontId="0" fillId="0" borderId="14" xfId="0" applyNumberFormat="1" applyBorder="1" applyProtection="1">
      <protection hidden="1"/>
    </xf>
    <xf numFmtId="3" fontId="0" fillId="0" borderId="6" xfId="0" applyNumberFormat="1" applyBorder="1" applyProtection="1">
      <protection hidden="1"/>
    </xf>
    <xf numFmtId="3" fontId="0" fillId="0" borderId="58" xfId="0" applyNumberFormat="1" applyBorder="1" applyProtection="1">
      <protection hidden="1"/>
    </xf>
    <xf numFmtId="3" fontId="0" fillId="0" borderId="47" xfId="0" applyNumberFormat="1" applyBorder="1" applyProtection="1">
      <protection hidden="1"/>
    </xf>
    <xf numFmtId="3" fontId="0" fillId="0" borderId="41" xfId="0" applyNumberFormat="1" applyBorder="1" applyProtection="1">
      <protection hidden="1"/>
    </xf>
    <xf numFmtId="3" fontId="0" fillId="0" borderId="50" xfId="0" applyNumberFormat="1" applyBorder="1" applyProtection="1">
      <protection hidden="1"/>
    </xf>
    <xf numFmtId="3" fontId="0" fillId="0" borderId="51" xfId="0" applyNumberFormat="1" applyBorder="1" applyProtection="1">
      <protection hidden="1"/>
    </xf>
    <xf numFmtId="3" fontId="0" fillId="0" borderId="19" xfId="0" applyNumberFormat="1" applyBorder="1" applyProtection="1">
      <protection hidden="1"/>
    </xf>
    <xf numFmtId="3" fontId="0" fillId="0" borderId="53" xfId="0" applyNumberFormat="1" applyBorder="1" applyProtection="1">
      <protection hidden="1"/>
    </xf>
    <xf numFmtId="3" fontId="0" fillId="0" borderId="60" xfId="0" applyNumberFormat="1" applyBorder="1" applyProtection="1">
      <protection hidden="1"/>
    </xf>
    <xf numFmtId="3" fontId="0" fillId="0" borderId="59" xfId="0" applyNumberFormat="1" applyBorder="1" applyProtection="1">
      <protection hidden="1"/>
    </xf>
    <xf numFmtId="3" fontId="0" fillId="0" borderId="36" xfId="0" applyNumberFormat="1" applyBorder="1" applyProtection="1">
      <protection hidden="1"/>
    </xf>
    <xf numFmtId="3" fontId="2" fillId="0" borderId="16" xfId="0" applyNumberFormat="1" applyFont="1" applyBorder="1" applyProtection="1">
      <protection hidden="1"/>
    </xf>
    <xf numFmtId="0" fontId="0" fillId="4" borderId="0" xfId="0" applyFill="1" applyProtection="1">
      <protection locked="0"/>
    </xf>
    <xf numFmtId="0" fontId="0" fillId="6" borderId="15" xfId="0" applyFill="1" applyBorder="1" applyProtection="1">
      <protection locked="0"/>
    </xf>
    <xf numFmtId="0" fontId="1" fillId="6" borderId="16" xfId="0" applyFont="1" applyFill="1" applyBorder="1" applyAlignment="1" applyProtection="1">
      <alignment horizontal="center"/>
      <protection locked="0"/>
    </xf>
    <xf numFmtId="0" fontId="1" fillId="6" borderId="17" xfId="0" applyFont="1" applyFill="1" applyBorder="1" applyAlignment="1" applyProtection="1">
      <alignment horizontal="center"/>
      <protection locked="0"/>
    </xf>
    <xf numFmtId="0" fontId="1" fillId="5" borderId="13" xfId="0" applyFont="1" applyFill="1" applyBorder="1" applyAlignment="1" applyProtection="1">
      <alignment horizontal="center"/>
      <protection locked="0"/>
    </xf>
    <xf numFmtId="0" fontId="7" fillId="5" borderId="14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horizontal="center"/>
      <protection locked="0"/>
    </xf>
    <xf numFmtId="0" fontId="7" fillId="5" borderId="6" xfId="0" applyFont="1" applyFill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wrapText="1"/>
      <protection locked="0"/>
    </xf>
    <xf numFmtId="0" fontId="7" fillId="0" borderId="6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0" fillId="5" borderId="1" xfId="0" applyFont="1" applyFill="1" applyBorder="1" applyProtection="1">
      <protection locked="0"/>
    </xf>
    <xf numFmtId="0" fontId="10" fillId="5" borderId="1" xfId="0" applyFont="1" applyFill="1" applyBorder="1" applyAlignment="1" applyProtection="1">
      <alignment wrapText="1"/>
      <protection locked="0"/>
    </xf>
    <xf numFmtId="0" fontId="10" fillId="5" borderId="1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3" fontId="2" fillId="4" borderId="19" xfId="0" applyNumberFormat="1" applyFont="1" applyFill="1" applyBorder="1"/>
    <xf numFmtId="0" fontId="2" fillId="0" borderId="19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2" fontId="2" fillId="0" borderId="28" xfId="0" applyNumberFormat="1" applyFont="1" applyBorder="1"/>
    <xf numFmtId="2" fontId="2" fillId="0" borderId="1" xfId="0" applyNumberFormat="1" applyFont="1" applyBorder="1"/>
    <xf numFmtId="2" fontId="2" fillId="0" borderId="2" xfId="0" applyNumberFormat="1" applyFont="1" applyBorder="1"/>
    <xf numFmtId="9" fontId="2" fillId="4" borderId="19" xfId="0" applyNumberFormat="1" applyFont="1" applyFill="1" applyBorder="1"/>
    <xf numFmtId="0" fontId="2" fillId="0" borderId="51" xfId="0" applyFont="1" applyBorder="1" applyAlignment="1" applyProtection="1">
      <alignment horizontal="center" vertical="center"/>
      <protection locked="0"/>
    </xf>
    <xf numFmtId="3" fontId="2" fillId="0" borderId="28" xfId="0" applyNumberFormat="1" applyFont="1" applyBorder="1" applyProtection="1">
      <protection locked="0"/>
    </xf>
    <xf numFmtId="0" fontId="3" fillId="2" borderId="22" xfId="0" applyFont="1" applyFill="1" applyBorder="1" applyAlignment="1" applyProtection="1">
      <alignment vertical="center"/>
      <protection locked="0"/>
    </xf>
    <xf numFmtId="0" fontId="3" fillId="2" borderId="26" xfId="0" applyFont="1" applyFill="1" applyBorder="1" applyAlignment="1" applyProtection="1">
      <alignment vertical="center"/>
      <protection locked="0"/>
    </xf>
    <xf numFmtId="3" fontId="2" fillId="0" borderId="67" xfId="0" applyNumberFormat="1" applyFont="1" applyBorder="1" applyProtection="1">
      <protection locked="0"/>
    </xf>
    <xf numFmtId="3" fontId="2" fillId="4" borderId="20" xfId="0" applyNumberFormat="1" applyFont="1" applyFill="1" applyBorder="1"/>
    <xf numFmtId="0" fontId="2" fillId="0" borderId="20" xfId="0" applyFont="1" applyBorder="1" applyAlignment="1">
      <alignment horizontal="center" vertical="center"/>
    </xf>
    <xf numFmtId="2" fontId="2" fillId="0" borderId="68" xfId="0" applyNumberFormat="1" applyFont="1" applyBorder="1"/>
    <xf numFmtId="2" fontId="2" fillId="0" borderId="8" xfId="0" applyNumberFormat="1" applyFont="1" applyBorder="1"/>
    <xf numFmtId="2" fontId="2" fillId="0" borderId="37" xfId="0" applyNumberFormat="1" applyFont="1" applyBorder="1"/>
    <xf numFmtId="9" fontId="2" fillId="4" borderId="20" xfId="0" applyNumberFormat="1" applyFont="1" applyFill="1" applyBorder="1"/>
    <xf numFmtId="3" fontId="2" fillId="0" borderId="5" xfId="0" applyNumberFormat="1" applyFont="1" applyBorder="1"/>
    <xf numFmtId="3" fontId="2" fillId="0" borderId="1" xfId="0" applyNumberFormat="1" applyFont="1" applyBorder="1"/>
    <xf numFmtId="3" fontId="2" fillId="0" borderId="51" xfId="0" applyNumberFormat="1" applyFont="1" applyBorder="1"/>
    <xf numFmtId="3" fontId="2" fillId="0" borderId="28" xfId="0" applyNumberFormat="1" applyFont="1" applyBorder="1"/>
    <xf numFmtId="3" fontId="2" fillId="0" borderId="69" xfId="0" applyNumberFormat="1" applyFont="1" applyBorder="1"/>
    <xf numFmtId="3" fontId="2" fillId="0" borderId="8" xfId="0" applyNumberFormat="1" applyFont="1" applyBorder="1"/>
    <xf numFmtId="3" fontId="2" fillId="0" borderId="68" xfId="0" applyNumberFormat="1" applyFon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5" xfId="0" applyNumberFormat="1" applyBorder="1"/>
    <xf numFmtId="3" fontId="2" fillId="0" borderId="16" xfId="0" applyNumberFormat="1" applyFont="1" applyBorder="1"/>
    <xf numFmtId="2" fontId="2" fillId="0" borderId="52" xfId="0" applyNumberFormat="1" applyFont="1" applyBorder="1" applyAlignment="1">
      <alignment horizontal="center" vertical="center"/>
    </xf>
    <xf numFmtId="2" fontId="2" fillId="0" borderId="67" xfId="0" applyNumberFormat="1" applyFont="1" applyBorder="1" applyAlignment="1">
      <alignment horizontal="center" vertical="center"/>
    </xf>
    <xf numFmtId="0" fontId="2" fillId="0" borderId="69" xfId="0" applyFont="1" applyBorder="1" applyAlignment="1" applyProtection="1">
      <alignment horizontal="center" vertical="center"/>
      <protection locked="0"/>
    </xf>
    <xf numFmtId="9" fontId="2" fillId="4" borderId="53" xfId="0" applyNumberFormat="1" applyFont="1" applyFill="1" applyBorder="1"/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70" xfId="0" applyFont="1" applyFill="1" applyBorder="1" applyAlignment="1" applyProtection="1">
      <alignment horizontal="center" vertical="center" wrapText="1"/>
      <protection locked="0"/>
    </xf>
    <xf numFmtId="0" fontId="4" fillId="2" borderId="27" xfId="0" applyFont="1" applyFill="1" applyBorder="1" applyAlignment="1" applyProtection="1">
      <alignment horizontal="center" vertical="center" wrapText="1"/>
      <protection locked="0"/>
    </xf>
    <xf numFmtId="0" fontId="4" fillId="2" borderId="44" xfId="0" applyFont="1" applyFill="1" applyBorder="1" applyAlignment="1" applyProtection="1">
      <alignment horizontal="center" vertical="center" wrapText="1"/>
      <protection locked="0"/>
    </xf>
    <xf numFmtId="9" fontId="2" fillId="4" borderId="57" xfId="0" applyNumberFormat="1" applyFont="1" applyFill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3" fillId="2" borderId="26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1" fillId="0" borderId="66" xfId="0" applyFont="1" applyBorder="1" applyAlignment="1" applyProtection="1">
      <alignment horizontal="center"/>
      <protection locked="0"/>
    </xf>
    <xf numFmtId="0" fontId="3" fillId="2" borderId="31" xfId="0" applyFont="1" applyFill="1" applyBorder="1" applyAlignment="1" applyProtection="1">
      <alignment horizontal="center" vertical="center"/>
      <protection locked="0"/>
    </xf>
    <xf numFmtId="0" fontId="3" fillId="2" borderId="32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 wrapText="1"/>
      <protection locked="0"/>
    </xf>
    <xf numFmtId="0" fontId="3" fillId="2" borderId="30" xfId="0" applyFont="1" applyFill="1" applyBorder="1" applyAlignment="1" applyProtection="1">
      <alignment horizontal="center" vertical="center" wrapText="1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41" xfId="0" applyFont="1" applyFill="1" applyBorder="1" applyAlignment="1" applyProtection="1">
      <alignment horizontal="center" vertical="center"/>
      <protection locked="0"/>
    </xf>
    <xf numFmtId="0" fontId="4" fillId="2" borderId="4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 wrapText="1"/>
      <protection locked="0"/>
    </xf>
    <xf numFmtId="0" fontId="4" fillId="2" borderId="19" xfId="0" applyFont="1" applyFill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35" xfId="0" applyFont="1" applyFill="1" applyBorder="1" applyAlignment="1" applyProtection="1">
      <alignment horizontal="center"/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34" xfId="0" applyFont="1" applyFill="1" applyBorder="1" applyAlignment="1" applyProtection="1">
      <alignment horizont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54" xfId="0" applyFont="1" applyFill="1" applyBorder="1" applyAlignment="1" applyProtection="1">
      <alignment horizontal="center"/>
      <protection locked="0"/>
    </xf>
    <xf numFmtId="0" fontId="3" fillId="2" borderId="55" xfId="0" applyFont="1" applyFill="1" applyBorder="1" applyAlignment="1" applyProtection="1">
      <alignment horizontal="center"/>
      <protection locked="0"/>
    </xf>
    <xf numFmtId="0" fontId="3" fillId="2" borderId="62" xfId="0" applyFont="1" applyFill="1" applyBorder="1" applyAlignment="1" applyProtection="1">
      <alignment horizontal="center" vertical="center" wrapText="1"/>
      <protection locked="0"/>
    </xf>
    <xf numFmtId="0" fontId="3" fillId="2" borderId="56" xfId="0" applyFont="1" applyFill="1" applyBorder="1" applyAlignment="1" applyProtection="1">
      <alignment horizontal="center" vertical="center"/>
      <protection locked="0"/>
    </xf>
    <xf numFmtId="0" fontId="3" fillId="2" borderId="53" xfId="0" applyFont="1" applyFill="1" applyBorder="1" applyAlignment="1" applyProtection="1">
      <alignment horizontal="center" vertical="center"/>
      <protection locked="0"/>
    </xf>
    <xf numFmtId="0" fontId="3" fillId="2" borderId="57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58" xfId="0" applyFont="1" applyFill="1" applyBorder="1" applyAlignment="1" applyProtection="1">
      <alignment horizontal="center" wrapText="1"/>
      <protection locked="0"/>
    </xf>
    <xf numFmtId="0" fontId="3" fillId="2" borderId="61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60" xfId="0" applyFont="1" applyFill="1" applyBorder="1" applyAlignment="1" applyProtection="1">
      <alignment horizontal="center" vertical="center" wrapText="1"/>
      <protection locked="0"/>
    </xf>
    <xf numFmtId="0" fontId="3" fillId="2" borderId="23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" xfId="0" applyFont="1" applyBorder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 wrapText="1"/>
      <protection locked="0"/>
    </xf>
    <xf numFmtId="0" fontId="1" fillId="0" borderId="28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1" fillId="0" borderId="1" xfId="1" applyFill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3" fillId="0" borderId="24" xfId="0" applyFont="1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/>
      <protection locked="0"/>
    </xf>
    <xf numFmtId="0" fontId="6" fillId="3" borderId="22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6" fillId="3" borderId="24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 wrapText="1"/>
      <protection locked="0"/>
    </xf>
    <xf numFmtId="0" fontId="0" fillId="5" borderId="5" xfId="0" applyFill="1" applyBorder="1" applyAlignment="1" applyProtection="1">
      <alignment horizontal="center" vertical="center" wrapText="1"/>
      <protection locked="0"/>
    </xf>
    <xf numFmtId="0" fontId="10" fillId="5" borderId="13" xfId="0" applyFont="1" applyFill="1" applyBorder="1" applyAlignment="1" applyProtection="1">
      <alignment horizontal="left" wrapText="1"/>
      <protection locked="0"/>
    </xf>
    <xf numFmtId="0" fontId="10" fillId="5" borderId="1" xfId="0" applyFont="1" applyFill="1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10" fillId="5" borderId="1" xfId="0" applyFont="1" applyFill="1" applyBorder="1" applyAlignment="1" applyProtection="1">
      <alignment horizontal="left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64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</cellXfs>
  <cellStyles count="2">
    <cellStyle name="Hipervínculo" xfId="1" builtinId="8"/>
    <cellStyle name="Normal" xfId="0" builtinId="0"/>
  </cellStyles>
  <dxfs count="10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82262</xdr:colOff>
      <xdr:row>0</xdr:row>
      <xdr:rowOff>113380</xdr:rowOff>
    </xdr:from>
    <xdr:to>
      <xdr:col>2</xdr:col>
      <xdr:colOff>894299</xdr:colOff>
      <xdr:row>5</xdr:row>
      <xdr:rowOff>63500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2361C976-953C-4C34-8A29-7691B0447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2262" y="113380"/>
          <a:ext cx="3304412" cy="82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17318</xdr:colOff>
      <xdr:row>0</xdr:row>
      <xdr:rowOff>126368</xdr:rowOff>
    </xdr:from>
    <xdr:to>
      <xdr:col>2</xdr:col>
      <xdr:colOff>960408</xdr:colOff>
      <xdr:row>5</xdr:row>
      <xdr:rowOff>103909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00F1C4FA-5034-4A2F-869E-F7ED9E08E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7318" y="126368"/>
          <a:ext cx="3436908" cy="84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34637</xdr:colOff>
      <xdr:row>0</xdr:row>
      <xdr:rowOff>91732</xdr:rowOff>
    </xdr:from>
    <xdr:to>
      <xdr:col>2</xdr:col>
      <xdr:colOff>907159</xdr:colOff>
      <xdr:row>5</xdr:row>
      <xdr:rowOff>51955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1CE68A8E-1B37-42B9-ABCE-ECE8A376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34637" y="91732"/>
          <a:ext cx="3366340" cy="826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86591</xdr:colOff>
      <xdr:row>0</xdr:row>
      <xdr:rowOff>109050</xdr:rowOff>
    </xdr:from>
    <xdr:to>
      <xdr:col>2</xdr:col>
      <xdr:colOff>1029681</xdr:colOff>
      <xdr:row>5</xdr:row>
      <xdr:rowOff>86591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0397A145-C5E4-4E7C-97F8-FD16B140F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6591" y="109050"/>
          <a:ext cx="3436908" cy="84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0</xdr:row>
      <xdr:rowOff>126368</xdr:rowOff>
    </xdr:from>
    <xdr:to>
      <xdr:col>2</xdr:col>
      <xdr:colOff>905864</xdr:colOff>
      <xdr:row>5</xdr:row>
      <xdr:rowOff>69273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E44AB4FA-4A2A-43D5-BD1F-0A43AD796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03909" y="126368"/>
          <a:ext cx="3295773" cy="808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69273</xdr:colOff>
      <xdr:row>0</xdr:row>
      <xdr:rowOff>91730</xdr:rowOff>
    </xdr:from>
    <xdr:to>
      <xdr:col>2</xdr:col>
      <xdr:colOff>1012367</xdr:colOff>
      <xdr:row>5</xdr:row>
      <xdr:rowOff>69272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15E068BC-5E39-4DF1-BB2E-10323815F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69273" y="91730"/>
          <a:ext cx="3436912" cy="843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86592</xdr:colOff>
      <xdr:row>0</xdr:row>
      <xdr:rowOff>109050</xdr:rowOff>
    </xdr:from>
    <xdr:to>
      <xdr:col>2</xdr:col>
      <xdr:colOff>1029678</xdr:colOff>
      <xdr:row>5</xdr:row>
      <xdr:rowOff>86590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5A508A09-0975-422C-9203-1B86FCB96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6592" y="109050"/>
          <a:ext cx="3436904" cy="843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121226</xdr:colOff>
      <xdr:row>0</xdr:row>
      <xdr:rowOff>126368</xdr:rowOff>
    </xdr:from>
    <xdr:to>
      <xdr:col>2</xdr:col>
      <xdr:colOff>923177</xdr:colOff>
      <xdr:row>5</xdr:row>
      <xdr:rowOff>69272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DD0AD56D-29B4-46D8-AEB2-87391723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21226" y="126368"/>
          <a:ext cx="3295769" cy="808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121228</xdr:colOff>
      <xdr:row>0</xdr:row>
      <xdr:rowOff>74413</xdr:rowOff>
    </xdr:from>
    <xdr:to>
      <xdr:col>3</xdr:col>
      <xdr:colOff>7913</xdr:colOff>
      <xdr:row>5</xdr:row>
      <xdr:rowOff>51955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A5196A76-79ED-46BB-B528-06261A911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21228" y="74413"/>
          <a:ext cx="3436912" cy="843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86590</xdr:colOff>
      <xdr:row>0</xdr:row>
      <xdr:rowOff>109050</xdr:rowOff>
    </xdr:from>
    <xdr:to>
      <xdr:col>2</xdr:col>
      <xdr:colOff>959108</xdr:colOff>
      <xdr:row>5</xdr:row>
      <xdr:rowOff>69272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EAC8D724-9D42-4EBC-912D-FDB324A4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86590" y="109050"/>
          <a:ext cx="3366336" cy="826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121227</xdr:colOff>
      <xdr:row>0</xdr:row>
      <xdr:rowOff>161004</xdr:rowOff>
    </xdr:from>
    <xdr:to>
      <xdr:col>2</xdr:col>
      <xdr:colOff>831273</xdr:colOff>
      <xdr:row>5</xdr:row>
      <xdr:rowOff>81354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246AB664-DF10-494B-8B61-74002569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21227" y="161004"/>
          <a:ext cx="3203864" cy="786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161004</xdr:rowOff>
    </xdr:from>
    <xdr:to>
      <xdr:col>2</xdr:col>
      <xdr:colOff>992451</xdr:colOff>
      <xdr:row>5</xdr:row>
      <xdr:rowOff>103908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0FB42256-FF99-4749-8E41-1EEAB146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90500" y="161004"/>
          <a:ext cx="3295769" cy="808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98136</xdr:colOff>
      <xdr:row>0</xdr:row>
      <xdr:rowOff>145130</xdr:rowOff>
    </xdr:from>
    <xdr:to>
      <xdr:col>2</xdr:col>
      <xdr:colOff>714374</xdr:colOff>
      <xdr:row>5</xdr:row>
      <xdr:rowOff>46470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46BAF0EA-0C07-4915-BADE-FB373AF5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98136" y="145130"/>
          <a:ext cx="3108613" cy="774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76201</xdr:rowOff>
    </xdr:from>
    <xdr:to>
      <xdr:col>2</xdr:col>
      <xdr:colOff>209550</xdr:colOff>
      <xdr:row>0</xdr:row>
      <xdr:rowOff>576906</xdr:rowOff>
    </xdr:to>
    <xdr:pic>
      <xdr:nvPicPr>
        <xdr:cNvPr id="3" name="Imagen 1" descr="Inicio - E.S.E. Hospital San Jerónimo de Montería">
          <a:extLst>
            <a:ext uri="{FF2B5EF4-FFF2-40B4-BE49-F238E27FC236}">
              <a16:creationId xmlns:a16="http://schemas.microsoft.com/office/drawing/2014/main" id="{D42106F9-854C-48E6-88A3-CA701E1E3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9" t="16245" r="9946" b="16148"/>
        <a:stretch>
          <a:fillRect/>
        </a:stretch>
      </xdr:blipFill>
      <xdr:spPr bwMode="auto">
        <a:xfrm>
          <a:off x="114300" y="76201"/>
          <a:ext cx="2009775" cy="500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0D5B-106C-42E9-BEBA-BCEC3192D363}">
  <dimension ref="A1:S66"/>
  <sheetViews>
    <sheetView tabSelected="1" topLeftCell="A15" zoomScale="60" zoomScaleNormal="60" workbookViewId="0">
      <selection activeCell="A25" sqref="A25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43"/>
      <c r="C60" s="44"/>
      <c r="D60" s="44"/>
      <c r="E60" s="45"/>
      <c r="F60" s="45"/>
      <c r="G60" s="84">
        <f>SUM(B60:F60)</f>
        <v>0</v>
      </c>
      <c r="H60" s="32"/>
      <c r="I60" s="4" t="s">
        <v>50</v>
      </c>
      <c r="J60" s="113">
        <f>(B60/$R$51)*100</f>
        <v>0</v>
      </c>
      <c r="K60" s="87">
        <f>(C60/$R$51)*100</f>
        <v>0</v>
      </c>
      <c r="L60" s="88">
        <f>(D60/$R$51)*100</f>
        <v>0</v>
      </c>
      <c r="M60" s="88">
        <f>(E60/$R$51)*100</f>
        <v>0</v>
      </c>
      <c r="N60" s="89">
        <f>(F60/$R$51)*100</f>
        <v>0</v>
      </c>
      <c r="O60" s="90">
        <f>SUM(J60:N60)/100</f>
        <v>0</v>
      </c>
      <c r="P60" s="29"/>
      <c r="Q60" s="29"/>
      <c r="R60" s="32"/>
      <c r="S60" s="16"/>
    </row>
    <row r="61" spans="1:19">
      <c r="A61" s="14"/>
      <c r="S61" s="16"/>
    </row>
    <row r="62" spans="1:19">
      <c r="A62" s="14"/>
      <c r="S62" s="16"/>
    </row>
    <row r="63" spans="1:19" ht="15">
      <c r="A63" s="14"/>
      <c r="I63" s="50" t="s">
        <v>51</v>
      </c>
      <c r="J63" s="50"/>
      <c r="S63" s="16"/>
    </row>
    <row r="64" spans="1:19" ht="15">
      <c r="A64" s="14"/>
      <c r="I64" s="50" t="s">
        <v>52</v>
      </c>
      <c r="J64" s="50"/>
      <c r="S64" s="16"/>
    </row>
    <row r="65" spans="1:19" ht="15">
      <c r="A65" s="14"/>
      <c r="I65" s="50" t="s">
        <v>53</v>
      </c>
      <c r="J65" s="50"/>
      <c r="S65" s="16"/>
    </row>
    <row r="66" spans="1:19" ht="15.75" thickBot="1">
      <c r="A66" s="51"/>
      <c r="B66" s="52"/>
      <c r="C66" s="52"/>
      <c r="D66" s="52"/>
      <c r="E66" s="52"/>
      <c r="F66" s="52"/>
      <c r="G66" s="52"/>
      <c r="H66" s="52"/>
      <c r="I66" s="53" t="s">
        <v>54</v>
      </c>
      <c r="J66" s="53"/>
      <c r="K66" s="52"/>
      <c r="L66" s="52"/>
      <c r="M66" s="52"/>
      <c r="N66" s="52"/>
      <c r="O66" s="52"/>
      <c r="P66" s="52"/>
      <c r="Q66" s="52"/>
      <c r="R66" s="52"/>
      <c r="S66" s="54"/>
    </row>
  </sheetData>
  <sheetProtection algorithmName="SHA-512" hashValue="Mjrjk5lGW4Z6OC8QAVR/X1XbSJSjsmNcWBtybbSz1sSo6k7A1x+nXoPRiRYn4z4O0aoDbu8cA9/jinPY2eiPNA==" saltValue="yHSv6XnWD1YyQNHshRUszw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0">
    <cfRule type="cellIs" dxfId="102" priority="2" operator="notEqual">
      <formula>$R$51</formula>
    </cfRule>
  </conditionalFormatting>
  <conditionalFormatting sqref="O60">
    <cfRule type="cellIs" dxfId="101" priority="1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CA52-FAA3-4F02-ADBD-38DFA4FF67AF}">
  <dimension ref="A1:S67"/>
  <sheetViews>
    <sheetView zoomScale="55" zoomScaleNormal="55" workbookViewId="0">
      <selection activeCell="D7" sqref="D7:J7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93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9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91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85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.75" thickBot="1">
      <c r="A61" s="91" t="s">
        <v>55</v>
      </c>
      <c r="B61" s="47"/>
      <c r="C61" s="48"/>
      <c r="D61" s="48"/>
      <c r="E61" s="48"/>
      <c r="F61" s="95"/>
      <c r="G61" s="96">
        <f t="shared" ref="G61" si="6">SUM(B61:F61)</f>
        <v>0</v>
      </c>
      <c r="H61" s="32"/>
      <c r="I61" s="97" t="s">
        <v>55</v>
      </c>
      <c r="J61" s="114">
        <f>(B61/$R$51)*100</f>
        <v>0</v>
      </c>
      <c r="K61" s="98">
        <f t="shared" ref="K61:N61" si="7">(C61/$R$51)*100</f>
        <v>0</v>
      </c>
      <c r="L61" s="99">
        <f t="shared" si="7"/>
        <v>0</v>
      </c>
      <c r="M61" s="99">
        <f t="shared" si="7"/>
        <v>0</v>
      </c>
      <c r="N61" s="100">
        <f t="shared" si="7"/>
        <v>0</v>
      </c>
      <c r="O61" s="101">
        <f>SUM(J61:N61)/100</f>
        <v>0</v>
      </c>
      <c r="P61" s="29"/>
      <c r="Q61" s="29"/>
      <c r="R61" s="32"/>
      <c r="S61" s="16"/>
    </row>
    <row r="62" spans="1:19">
      <c r="A62" s="14"/>
      <c r="S62" s="16"/>
    </row>
    <row r="63" spans="1:19">
      <c r="A63" s="14"/>
      <c r="S63" s="16"/>
    </row>
    <row r="64" spans="1:19" ht="15">
      <c r="A64" s="14"/>
      <c r="I64" s="50" t="s">
        <v>51</v>
      </c>
      <c r="J64" s="50"/>
      <c r="S64" s="16"/>
    </row>
    <row r="65" spans="1:19" ht="15">
      <c r="A65" s="14"/>
      <c r="I65" s="50" t="s">
        <v>52</v>
      </c>
      <c r="J65" s="50"/>
      <c r="S65" s="16"/>
    </row>
    <row r="66" spans="1:19" ht="15">
      <c r="A66" s="14"/>
      <c r="I66" s="50" t="s">
        <v>53</v>
      </c>
      <c r="J66" s="50"/>
      <c r="S66" s="16"/>
    </row>
    <row r="67" spans="1:19" ht="15.75" thickBot="1">
      <c r="A67" s="51"/>
      <c r="B67" s="52"/>
      <c r="C67" s="52"/>
      <c r="D67" s="52"/>
      <c r="E67" s="52"/>
      <c r="F67" s="52"/>
      <c r="G67" s="52"/>
      <c r="H67" s="52"/>
      <c r="I67" s="53" t="s">
        <v>54</v>
      </c>
      <c r="J67" s="53"/>
      <c r="K67" s="52"/>
      <c r="L67" s="52"/>
      <c r="M67" s="52"/>
      <c r="N67" s="52"/>
      <c r="O67" s="52"/>
      <c r="P67" s="52"/>
      <c r="Q67" s="52"/>
      <c r="R67" s="52"/>
      <c r="S67" s="54"/>
    </row>
  </sheetData>
  <sheetProtection algorithmName="SHA-512" hashValue="600AWdVgpSqPSSALqA4pVzrmYrfmXi+1JJk0rinPqKp1X2bGm6bXYmiYiXWHDMEcsZpRfnDnbtGIWna8SZVtHQ==" saltValue="YoTJ3tg12Sa5Po0KTR+W3g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1">
    <cfRule type="cellIs" dxfId="100" priority="3" operator="notEqual">
      <formula>$R$51</formula>
    </cfRule>
  </conditionalFormatting>
  <conditionalFormatting sqref="O60:O61">
    <cfRule type="cellIs" dxfId="99" priority="2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D4385B52-0429-463C-B0D6-43399C2C4A78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5C3F-BF76-4663-B454-333332F17A92}">
  <dimension ref="A1:S68"/>
  <sheetViews>
    <sheetView zoomScale="55" zoomScaleNormal="55" workbookViewId="0">
      <selection activeCell="D9" sqref="D9:J9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43">
        <f>+ENERO!B60</f>
        <v>0</v>
      </c>
      <c r="C60" s="44">
        <f>+ENERO!C60</f>
        <v>0</v>
      </c>
      <c r="D60" s="44">
        <f>+ENERO!D60</f>
        <v>0</v>
      </c>
      <c r="E60" s="44">
        <f>+ENERO!E60</f>
        <v>0</v>
      </c>
      <c r="F60" s="92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2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43"/>
      <c r="C62" s="44"/>
      <c r="D62" s="44"/>
      <c r="E62" s="45"/>
      <c r="F62" s="45"/>
      <c r="G62" s="84">
        <f t="shared" si="6"/>
        <v>0</v>
      </c>
      <c r="H62" s="32"/>
      <c r="I62" s="4" t="s">
        <v>56</v>
      </c>
      <c r="J62" s="86">
        <f>(B62/$R$51)*100</f>
        <v>0</v>
      </c>
      <c r="K62" s="87">
        <f t="shared" ref="K62:N62" si="7">(C62/$R$51)*100</f>
        <v>0</v>
      </c>
      <c r="L62" s="88">
        <f t="shared" si="7"/>
        <v>0</v>
      </c>
      <c r="M62" s="88">
        <f t="shared" si="7"/>
        <v>0</v>
      </c>
      <c r="N62" s="89">
        <f t="shared" si="7"/>
        <v>0</v>
      </c>
      <c r="O62" s="90">
        <f>SUM(J62:N62)/100</f>
        <v>0</v>
      </c>
      <c r="P62" s="29"/>
      <c r="Q62" s="29"/>
      <c r="R62" s="32"/>
      <c r="S62" s="16"/>
    </row>
    <row r="63" spans="1:19">
      <c r="A63" s="14"/>
      <c r="S63" s="16"/>
    </row>
    <row r="64" spans="1:19">
      <c r="A64" s="14"/>
      <c r="S64" s="16"/>
    </row>
    <row r="65" spans="1:19" ht="15">
      <c r="A65" s="14"/>
      <c r="I65" s="50" t="s">
        <v>51</v>
      </c>
      <c r="J65" s="50"/>
      <c r="S65" s="16"/>
    </row>
    <row r="66" spans="1:19" ht="15">
      <c r="A66" s="14"/>
      <c r="I66" s="50" t="s">
        <v>52</v>
      </c>
      <c r="J66" s="50"/>
      <c r="S66" s="16"/>
    </row>
    <row r="67" spans="1:19" ht="15">
      <c r="A67" s="14"/>
      <c r="I67" s="50" t="s">
        <v>53</v>
      </c>
      <c r="J67" s="50"/>
      <c r="S67" s="16"/>
    </row>
    <row r="68" spans="1:19" ht="15.75" thickBot="1">
      <c r="A68" s="51"/>
      <c r="B68" s="52"/>
      <c r="C68" s="52"/>
      <c r="D68" s="52"/>
      <c r="E68" s="52"/>
      <c r="F68" s="52"/>
      <c r="G68" s="52"/>
      <c r="H68" s="52"/>
      <c r="I68" s="53" t="s">
        <v>54</v>
      </c>
      <c r="J68" s="53"/>
      <c r="K68" s="52"/>
      <c r="L68" s="52"/>
      <c r="M68" s="52"/>
      <c r="N68" s="52"/>
      <c r="O68" s="52"/>
      <c r="P68" s="52"/>
      <c r="Q68" s="52"/>
      <c r="R68" s="52"/>
      <c r="S68" s="54"/>
    </row>
  </sheetData>
  <sheetProtection algorithmName="SHA-512" hashValue="wiCVo3gGP0xibNfc9cwZ3NDtluBjXab5ZSoTkjRDdf5IZGWokJVSyqJhGD7MD7dBS5lMTrU7E+ZkrIX5ciSEhg==" saltValue="+hAszTzuMY3WFtAxOymrCg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2">
    <cfRule type="cellIs" dxfId="97" priority="4" operator="notEqual">
      <formula>$R$51</formula>
    </cfRule>
  </conditionalFormatting>
  <conditionalFormatting sqref="O60:O62">
    <cfRule type="cellIs" dxfId="96" priority="3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8DD2E7B5-894B-4D07-BBA7-D200F323F178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C33496EC-78AC-4CBF-B321-4B8F2AD54242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4374-265A-48F0-BD58-C09E90605C68}">
  <dimension ref="A1:S69"/>
  <sheetViews>
    <sheetView zoomScale="55" zoomScaleNormal="55" workbookViewId="0">
      <selection activeCell="O12" sqref="O12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43">
        <f>+ENERO!B60</f>
        <v>0</v>
      </c>
      <c r="C60" s="44">
        <f>+ENERO!C60</f>
        <v>0</v>
      </c>
      <c r="D60" s="44">
        <f>+ENERO!D60</f>
        <v>0</v>
      </c>
      <c r="E60" s="44">
        <f>+ENERO!E60</f>
        <v>0</v>
      </c>
      <c r="F60" s="92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3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3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3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>SUM(J62:N62)/100</f>
        <v>0</v>
      </c>
      <c r="P62" s="29"/>
      <c r="Q62" s="29"/>
      <c r="R62" s="32"/>
      <c r="S62" s="16"/>
    </row>
    <row r="63" spans="1:19" ht="15">
      <c r="A63" s="4" t="s">
        <v>57</v>
      </c>
      <c r="B63" s="43"/>
      <c r="C63" s="44"/>
      <c r="D63" s="44"/>
      <c r="E63" s="45"/>
      <c r="F63" s="45"/>
      <c r="G63" s="84">
        <f t="shared" si="6"/>
        <v>0</v>
      </c>
      <c r="H63" s="32"/>
      <c r="I63" s="4" t="s">
        <v>57</v>
      </c>
      <c r="J63" s="113">
        <f>(B63/$R$51)*100</f>
        <v>0</v>
      </c>
      <c r="K63" s="87">
        <f t="shared" ref="K63:N63" si="8">(C63/$R$51)*100</f>
        <v>0</v>
      </c>
      <c r="L63" s="88">
        <f t="shared" si="8"/>
        <v>0</v>
      </c>
      <c r="M63" s="88">
        <f t="shared" si="8"/>
        <v>0</v>
      </c>
      <c r="N63" s="89">
        <f t="shared" si="8"/>
        <v>0</v>
      </c>
      <c r="O63" s="90">
        <f t="shared" si="7"/>
        <v>0</v>
      </c>
      <c r="P63" s="29"/>
      <c r="Q63" s="29"/>
      <c r="R63" s="32"/>
      <c r="S63" s="16"/>
    </row>
    <row r="64" spans="1:19">
      <c r="A64" s="14"/>
      <c r="S64" s="16"/>
    </row>
    <row r="65" spans="1:19">
      <c r="A65" s="14"/>
      <c r="S65" s="16"/>
    </row>
    <row r="66" spans="1:19" ht="15">
      <c r="A66" s="14"/>
      <c r="I66" s="50" t="s">
        <v>51</v>
      </c>
      <c r="J66" s="50"/>
      <c r="S66" s="16"/>
    </row>
    <row r="67" spans="1:19" ht="15">
      <c r="A67" s="14"/>
      <c r="I67" s="50" t="s">
        <v>52</v>
      </c>
      <c r="J67" s="50"/>
      <c r="S67" s="16"/>
    </row>
    <row r="68" spans="1:19" ht="15">
      <c r="A68" s="14"/>
      <c r="I68" s="50" t="s">
        <v>53</v>
      </c>
      <c r="J68" s="50"/>
      <c r="S68" s="16"/>
    </row>
    <row r="69" spans="1:19" ht="15.75" thickBot="1">
      <c r="A69" s="51"/>
      <c r="B69" s="52"/>
      <c r="C69" s="52"/>
      <c r="D69" s="52"/>
      <c r="E69" s="52"/>
      <c r="F69" s="52"/>
      <c r="G69" s="52"/>
      <c r="H69" s="52"/>
      <c r="I69" s="53" t="s">
        <v>54</v>
      </c>
      <c r="J69" s="53"/>
      <c r="K69" s="52"/>
      <c r="L69" s="52"/>
      <c r="M69" s="52"/>
      <c r="N69" s="52"/>
      <c r="O69" s="52"/>
      <c r="P69" s="52"/>
      <c r="Q69" s="52"/>
      <c r="R69" s="52"/>
      <c r="S69" s="54"/>
    </row>
  </sheetData>
  <sheetProtection algorithmName="SHA-512" hashValue="898hTMJVLItIcZcHAPX5fst1sMd7mojplgxWYz2Dh0X6qB28ms+slCO2Z+TSi7skp+seGE3MHCsSdd9Y9VsC/A==" saltValue="F6HOfSySNfR4dV4jAepAxA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3">
    <cfRule type="cellIs" dxfId="93" priority="5" operator="notEqual">
      <formula>$R$51</formula>
    </cfRule>
  </conditionalFormatting>
  <conditionalFormatting sqref="O60:O63">
    <cfRule type="cellIs" dxfId="92" priority="4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BDDE1BD1-A7E0-49A9-9F40-F0C8A157FF72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A30883D4-BE54-41D2-9FF6-FF89F3F94BAF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EAEAFD19-A525-434D-8C01-C0F65B14612B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D59F-3BF9-4598-9EFF-B1BB9EC9E2ED}">
  <dimension ref="A1:S70"/>
  <sheetViews>
    <sheetView zoomScale="55" zoomScaleNormal="55" workbookViewId="0">
      <selection activeCell="D10" sqref="D10:J10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58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4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3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43"/>
      <c r="C64" s="44"/>
      <c r="D64" s="44"/>
      <c r="E64" s="45"/>
      <c r="F64" s="45"/>
      <c r="G64" s="84">
        <f t="shared" si="6"/>
        <v>0</v>
      </c>
      <c r="I64" s="4" t="s">
        <v>59</v>
      </c>
      <c r="J64" s="113">
        <f>(B64/$R$51)*100</f>
        <v>0</v>
      </c>
      <c r="K64" s="87">
        <f t="shared" ref="K64:N64" si="8">(C64/$R$51)*100</f>
        <v>0</v>
      </c>
      <c r="L64" s="88">
        <f t="shared" si="8"/>
        <v>0</v>
      </c>
      <c r="M64" s="88">
        <f t="shared" si="8"/>
        <v>0</v>
      </c>
      <c r="N64" s="89">
        <f t="shared" si="8"/>
        <v>0</v>
      </c>
      <c r="O64" s="90">
        <f>SUM(J64:N64)/100</f>
        <v>0</v>
      </c>
      <c r="P64" s="29"/>
      <c r="Q64" s="29"/>
      <c r="S64" s="16"/>
    </row>
    <row r="65" spans="1:19">
      <c r="A65" s="14"/>
      <c r="S65" s="16"/>
    </row>
    <row r="66" spans="1:19">
      <c r="A66" s="14"/>
      <c r="S66" s="16"/>
    </row>
    <row r="67" spans="1:19" ht="15">
      <c r="A67" s="14"/>
      <c r="I67" s="50" t="s">
        <v>51</v>
      </c>
      <c r="J67" s="50"/>
      <c r="S67" s="16"/>
    </row>
    <row r="68" spans="1:19" ht="15">
      <c r="A68" s="14"/>
      <c r="I68" s="50" t="s">
        <v>52</v>
      </c>
      <c r="J68" s="50"/>
      <c r="S68" s="16"/>
    </row>
    <row r="69" spans="1:19" ht="15">
      <c r="A69" s="14"/>
      <c r="I69" s="50" t="s">
        <v>53</v>
      </c>
      <c r="J69" s="50"/>
      <c r="S69" s="16"/>
    </row>
    <row r="70" spans="1:19" ht="15.75" thickBot="1">
      <c r="A70" s="51"/>
      <c r="B70" s="52"/>
      <c r="C70" s="52"/>
      <c r="D70" s="52"/>
      <c r="E70" s="52"/>
      <c r="F70" s="52"/>
      <c r="G70" s="52"/>
      <c r="H70" s="52"/>
      <c r="I70" s="53" t="s">
        <v>54</v>
      </c>
      <c r="J70" s="53"/>
      <c r="K70" s="52"/>
      <c r="L70" s="52"/>
      <c r="M70" s="52"/>
      <c r="N70" s="52"/>
      <c r="O70" s="52"/>
      <c r="P70" s="52"/>
      <c r="Q70" s="52"/>
      <c r="R70" s="52"/>
      <c r="S70" s="54"/>
    </row>
  </sheetData>
  <sheetProtection algorithmName="SHA-512" hashValue="DvcCj0bQNcdxs2smu0lLevWY5+0ZD4FXyI482uY9dV9JKt5Grf82LbjdMUX/C/1CQRul9wmeFRd4nILN6ddS4g==" saltValue="I/BCApStvc80BM/WDYySYA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4">
    <cfRule type="cellIs" dxfId="88" priority="6" operator="notEqual">
      <formula>$R$51</formula>
    </cfRule>
  </conditionalFormatting>
  <conditionalFormatting sqref="O60:O64">
    <cfRule type="cellIs" dxfId="87" priority="5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47A3B9FF-1206-48F1-B468-6DEA5DB2386C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0DBE2F53-8937-4769-9A1A-13534328ACF9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9E512008-A5AA-4E6A-A2C8-37CBCDCF9173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11F7755C-83F5-4620-BAD1-907F31A31511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1EFA-FD7A-4C82-BBE8-F5055DF45AB4}">
  <dimension ref="A1:S71"/>
  <sheetViews>
    <sheetView zoomScale="55" zoomScaleNormal="55" workbookViewId="0">
      <selection activeCell="K13" sqref="K13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58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5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5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+MAYO!B64</f>
        <v>0</v>
      </c>
      <c r="C64" s="103">
        <f>+MAYO!C64</f>
        <v>0</v>
      </c>
      <c r="D64" s="103">
        <f>+MAYO!D64</f>
        <v>0</v>
      </c>
      <c r="E64" s="103">
        <f>+MAYO!E64</f>
        <v>0</v>
      </c>
      <c r="F64" s="105">
        <f>+MAYO!F64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43"/>
      <c r="C65" s="44"/>
      <c r="D65" s="44"/>
      <c r="E65" s="45"/>
      <c r="F65" s="45"/>
      <c r="G65" s="84">
        <f t="shared" si="6"/>
        <v>0</v>
      </c>
      <c r="I65" s="4" t="s">
        <v>60</v>
      </c>
      <c r="J65" s="113">
        <f>(B65/$R$51)*100</f>
        <v>0</v>
      </c>
      <c r="K65" s="87">
        <f t="shared" ref="K65:N65" si="8">(C65/$R$51)*100</f>
        <v>0</v>
      </c>
      <c r="L65" s="88">
        <f t="shared" si="8"/>
        <v>0</v>
      </c>
      <c r="M65" s="88">
        <f t="shared" si="8"/>
        <v>0</v>
      </c>
      <c r="N65" s="89">
        <f t="shared" si="8"/>
        <v>0</v>
      </c>
      <c r="O65" s="90">
        <f t="shared" si="7"/>
        <v>0</v>
      </c>
      <c r="P65" s="29"/>
      <c r="Q65" s="29"/>
      <c r="S65" s="16"/>
    </row>
    <row r="66" spans="1:19">
      <c r="A66" s="14"/>
      <c r="S66" s="16"/>
    </row>
    <row r="67" spans="1:19">
      <c r="A67" s="14"/>
      <c r="S67" s="16"/>
    </row>
    <row r="68" spans="1:19" ht="15">
      <c r="A68" s="14"/>
      <c r="I68" s="50" t="s">
        <v>51</v>
      </c>
      <c r="J68" s="50"/>
      <c r="S68" s="16"/>
    </row>
    <row r="69" spans="1:19" ht="15">
      <c r="A69" s="14"/>
      <c r="I69" s="50" t="s">
        <v>52</v>
      </c>
      <c r="J69" s="50"/>
      <c r="S69" s="16"/>
    </row>
    <row r="70" spans="1:19" ht="15">
      <c r="A70" s="14"/>
      <c r="I70" s="50" t="s">
        <v>53</v>
      </c>
      <c r="J70" s="50"/>
      <c r="S70" s="16"/>
    </row>
    <row r="71" spans="1:19" ht="15.75" thickBot="1">
      <c r="A71" s="51"/>
      <c r="B71" s="52"/>
      <c r="C71" s="52"/>
      <c r="D71" s="52"/>
      <c r="E71" s="52"/>
      <c r="F71" s="52"/>
      <c r="G71" s="52"/>
      <c r="H71" s="52"/>
      <c r="I71" s="53" t="s">
        <v>54</v>
      </c>
      <c r="J71" s="53"/>
      <c r="K71" s="52"/>
      <c r="L71" s="52"/>
      <c r="M71" s="52"/>
      <c r="N71" s="52"/>
      <c r="O71" s="52"/>
      <c r="P71" s="52"/>
      <c r="Q71" s="52"/>
      <c r="R71" s="52"/>
      <c r="S71" s="54"/>
    </row>
  </sheetData>
  <sheetProtection algorithmName="SHA-512" hashValue="mQ7Oei4a14FsKVXvNIS5w28pR4xuCdhUXexYWqWopOzwHhI10qT5TctOESs5icxGpitnj7J3BCKb/eM/kooPog==" saltValue="JU/FgWZqorgvOkB8hZsHjg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5">
    <cfRule type="cellIs" dxfId="82" priority="7" operator="notEqual">
      <formula>$R$51</formula>
    </cfRule>
  </conditionalFormatting>
  <conditionalFormatting sqref="O60:O65">
    <cfRule type="cellIs" dxfId="81" priority="6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39FE8320-AC3D-40B2-8F11-980FF20079F0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593E7005-C4FB-44BB-B100-629D4E75D1D3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851AF5BC-7A9A-4375-A8AD-5086219CE0C4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F4B25881-5295-4381-871A-5AAADF1ED56C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70CD4D57-B7CC-4FCD-A89A-3D7B5129AC7D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DC8EB-B040-4621-8CD0-F25BFCF24F35}">
  <dimension ref="A1:S72"/>
  <sheetViews>
    <sheetView zoomScale="55" zoomScaleNormal="55" workbookViewId="0">
      <selection activeCell="D1" sqref="D1:P6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6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5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+MAYO!B64</f>
        <v>0</v>
      </c>
      <c r="C64" s="103">
        <f>+MAYO!C64</f>
        <v>0</v>
      </c>
      <c r="D64" s="103">
        <f>+MAYO!D64</f>
        <v>0</v>
      </c>
      <c r="E64" s="103">
        <f>+MAYO!E64</f>
        <v>0</v>
      </c>
      <c r="F64" s="105">
        <f>+MAYO!F64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104">
        <f>+JUNIO!B65</f>
        <v>0</v>
      </c>
      <c r="C65" s="103">
        <f>+JUNIO!C65</f>
        <v>0</v>
      </c>
      <c r="D65" s="103">
        <f>+JUNIO!D65</f>
        <v>0</v>
      </c>
      <c r="E65" s="103">
        <f>+JUNIO!E65</f>
        <v>0</v>
      </c>
      <c r="F65" s="105">
        <f>+JUNIO!F65</f>
        <v>0</v>
      </c>
      <c r="G65" s="84">
        <f t="shared" si="6"/>
        <v>0</v>
      </c>
      <c r="I65" s="4" t="s">
        <v>60</v>
      </c>
      <c r="J65" s="113">
        <f>(B65/JUNIO!$R$51)*100</f>
        <v>0</v>
      </c>
      <c r="K65" s="87">
        <f>(C65/JUNIO!$R$51)*100</f>
        <v>0</v>
      </c>
      <c r="L65" s="88">
        <f>(D65/JUNIO!$R$51)*100</f>
        <v>0</v>
      </c>
      <c r="M65" s="88">
        <f>(E65/JUNIO!$R$51)*100</f>
        <v>0</v>
      </c>
      <c r="N65" s="89">
        <f>(F65/JUNIO!$R$51)*100</f>
        <v>0</v>
      </c>
      <c r="O65" s="90">
        <f t="shared" si="7"/>
        <v>0</v>
      </c>
      <c r="P65" s="29"/>
      <c r="Q65" s="29"/>
      <c r="S65" s="16"/>
    </row>
    <row r="66" spans="1:19" ht="15">
      <c r="A66" s="4" t="s">
        <v>61</v>
      </c>
      <c r="B66" s="43"/>
      <c r="C66" s="44"/>
      <c r="D66" s="44"/>
      <c r="E66" s="45"/>
      <c r="F66" s="45"/>
      <c r="G66" s="84">
        <f t="shared" si="6"/>
        <v>0</v>
      </c>
      <c r="I66" s="4" t="s">
        <v>61</v>
      </c>
      <c r="J66" s="113">
        <f>(B66/$R$51)*100</f>
        <v>0</v>
      </c>
      <c r="K66" s="87">
        <f t="shared" ref="K66:N66" si="8">(C66/$R$51)*100</f>
        <v>0</v>
      </c>
      <c r="L66" s="88">
        <f t="shared" si="8"/>
        <v>0</v>
      </c>
      <c r="M66" s="88">
        <f t="shared" si="8"/>
        <v>0</v>
      </c>
      <c r="N66" s="89">
        <f t="shared" si="8"/>
        <v>0</v>
      </c>
      <c r="O66" s="90">
        <f>SUM(J66:N66)/100</f>
        <v>0</v>
      </c>
      <c r="P66" s="29"/>
      <c r="Q66" s="29"/>
      <c r="S66" s="16"/>
    </row>
    <row r="67" spans="1:19">
      <c r="A67" s="14"/>
      <c r="S67" s="16"/>
    </row>
    <row r="68" spans="1:19">
      <c r="A68" s="14"/>
      <c r="S68" s="16"/>
    </row>
    <row r="69" spans="1:19" ht="15">
      <c r="A69" s="14"/>
      <c r="I69" s="50" t="s">
        <v>51</v>
      </c>
      <c r="J69" s="50"/>
      <c r="S69" s="16"/>
    </row>
    <row r="70" spans="1:19" ht="15">
      <c r="A70" s="14"/>
      <c r="I70" s="50" t="s">
        <v>52</v>
      </c>
      <c r="J70" s="50"/>
      <c r="S70" s="16"/>
    </row>
    <row r="71" spans="1:19" ht="15">
      <c r="A71" s="14"/>
      <c r="I71" s="50" t="s">
        <v>53</v>
      </c>
      <c r="J71" s="50"/>
      <c r="S71" s="16"/>
    </row>
    <row r="72" spans="1:19" ht="15.75" thickBot="1">
      <c r="A72" s="51"/>
      <c r="B72" s="52"/>
      <c r="C72" s="52"/>
      <c r="D72" s="52"/>
      <c r="E72" s="52"/>
      <c r="F72" s="52"/>
      <c r="G72" s="52"/>
      <c r="H72" s="52"/>
      <c r="I72" s="53" t="s">
        <v>54</v>
      </c>
      <c r="J72" s="53"/>
      <c r="K72" s="52"/>
      <c r="L72" s="52"/>
      <c r="M72" s="52"/>
      <c r="N72" s="52"/>
      <c r="O72" s="52"/>
      <c r="P72" s="52"/>
      <c r="Q72" s="52"/>
      <c r="R72" s="52"/>
      <c r="S72" s="54"/>
    </row>
  </sheetData>
  <sheetProtection algorithmName="SHA-512" hashValue="hhsBloxH8izuwoUttbWOXO23PC9pgXOOVqL/4eosirotB96xRlePZb15d1Pna2d5d3IwkC4D7JV3NDN8Ty25UQ==" saltValue="KXzzbqfU61TP3mlHJZ1YRQ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6">
    <cfRule type="cellIs" dxfId="75" priority="8" operator="notEqual">
      <formula>$R$51</formula>
    </cfRule>
  </conditionalFormatting>
  <conditionalFormatting sqref="O60:O66">
    <cfRule type="cellIs" dxfId="74" priority="7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1A9A2A87-4A89-4D45-8654-7CA1A05DFC6B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DECA64A7-0CBF-429B-8098-0DBDF851F1EE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465B0B9D-A5CA-4614-B538-49A90973A14E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5AF559DD-6B50-49D7-80B4-4D53D39129C9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4A8A10B7-66A7-4636-9EDC-B63115939EE6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" operator="notEqual" id="{193DAF56-E2D1-4047-BBFD-78938295976B}">
            <xm:f>JUNIO!$R$51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FFF2-59C8-437E-8559-936673BB8B1A}">
  <dimension ref="A1:S73"/>
  <sheetViews>
    <sheetView zoomScale="55" zoomScaleNormal="55" workbookViewId="0">
      <selection activeCell="D7" sqref="D7:J7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7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7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+MAYO!B64</f>
        <v>0</v>
      </c>
      <c r="C64" s="103">
        <f>+MAYO!C64</f>
        <v>0</v>
      </c>
      <c r="D64" s="103">
        <f>+MAYO!D64</f>
        <v>0</v>
      </c>
      <c r="E64" s="103">
        <f>+MAYO!E64</f>
        <v>0</v>
      </c>
      <c r="F64" s="105">
        <f>+MAYO!F64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104">
        <f>+JUNIO!B65</f>
        <v>0</v>
      </c>
      <c r="C65" s="103">
        <f>+JUNIO!C65</f>
        <v>0</v>
      </c>
      <c r="D65" s="103">
        <f>+JUNIO!D65</f>
        <v>0</v>
      </c>
      <c r="E65" s="103">
        <f>+JUNIO!E65</f>
        <v>0</v>
      </c>
      <c r="F65" s="105">
        <f>+JUNIO!F65</f>
        <v>0</v>
      </c>
      <c r="G65" s="84">
        <f t="shared" si="6"/>
        <v>0</v>
      </c>
      <c r="I65" s="4" t="s">
        <v>60</v>
      </c>
      <c r="J65" s="113">
        <f>(B65/JUNIO!$R$51)*100</f>
        <v>0</v>
      </c>
      <c r="K65" s="87">
        <f>(C65/JUNIO!$R$51)*100</f>
        <v>0</v>
      </c>
      <c r="L65" s="88">
        <f>(D65/JUNIO!$R$51)*100</f>
        <v>0</v>
      </c>
      <c r="M65" s="88">
        <f>(E65/JUNIO!$R$51)*100</f>
        <v>0</v>
      </c>
      <c r="N65" s="89">
        <f>(F65/JUNIO!$R$51)*100</f>
        <v>0</v>
      </c>
      <c r="O65" s="90">
        <f t="shared" si="7"/>
        <v>0</v>
      </c>
      <c r="P65" s="29"/>
      <c r="Q65" s="29"/>
      <c r="S65" s="16"/>
    </row>
    <row r="66" spans="1:19" ht="15">
      <c r="A66" s="4" t="s">
        <v>61</v>
      </c>
      <c r="B66" s="104">
        <f>+JULIO!B66</f>
        <v>0</v>
      </c>
      <c r="C66" s="103">
        <f>+JULIO!C66</f>
        <v>0</v>
      </c>
      <c r="D66" s="103">
        <f>+JULIO!D66</f>
        <v>0</v>
      </c>
      <c r="E66" s="103">
        <f>+JULIO!E66</f>
        <v>0</v>
      </c>
      <c r="F66" s="105">
        <f>+JULIO!F66</f>
        <v>0</v>
      </c>
      <c r="G66" s="84">
        <f t="shared" si="6"/>
        <v>0</v>
      </c>
      <c r="I66" s="4" t="s">
        <v>61</v>
      </c>
      <c r="J66" s="113">
        <f>(B66/JULIO!$R$51)*100</f>
        <v>0</v>
      </c>
      <c r="K66" s="87">
        <f>(C66/JULIO!$R$51)*100</f>
        <v>0</v>
      </c>
      <c r="L66" s="88">
        <f>(D66/JULIO!$R$51)*100</f>
        <v>0</v>
      </c>
      <c r="M66" s="88">
        <f>(E66/JULIO!$R$51)*100</f>
        <v>0</v>
      </c>
      <c r="N66" s="89">
        <f>(F66/JULIO!$R$51)*100</f>
        <v>0</v>
      </c>
      <c r="O66" s="90">
        <f t="shared" si="7"/>
        <v>0</v>
      </c>
      <c r="P66" s="29"/>
      <c r="Q66" s="29"/>
      <c r="S66" s="16"/>
    </row>
    <row r="67" spans="1:19" ht="15">
      <c r="A67" s="4" t="s">
        <v>62</v>
      </c>
      <c r="B67" s="43"/>
      <c r="C67" s="44"/>
      <c r="D67" s="44"/>
      <c r="E67" s="45"/>
      <c r="F67" s="45"/>
      <c r="G67" s="84">
        <f t="shared" si="6"/>
        <v>0</v>
      </c>
      <c r="I67" s="4" t="s">
        <v>62</v>
      </c>
      <c r="J67" s="113">
        <f>(B67/$R$51)*100</f>
        <v>0</v>
      </c>
      <c r="K67" s="87">
        <f t="shared" ref="K67:N67" si="8">(C67/$R$51)*100</f>
        <v>0</v>
      </c>
      <c r="L67" s="88">
        <f t="shared" si="8"/>
        <v>0</v>
      </c>
      <c r="M67" s="88">
        <f t="shared" si="8"/>
        <v>0</v>
      </c>
      <c r="N67" s="89">
        <f t="shared" si="8"/>
        <v>0</v>
      </c>
      <c r="O67" s="90">
        <f t="shared" si="7"/>
        <v>0</v>
      </c>
      <c r="P67" s="29"/>
      <c r="Q67" s="29"/>
      <c r="S67" s="16"/>
    </row>
    <row r="68" spans="1:19">
      <c r="A68" s="14"/>
      <c r="S68" s="16"/>
    </row>
    <row r="69" spans="1:19">
      <c r="A69" s="14"/>
      <c r="S69" s="16"/>
    </row>
    <row r="70" spans="1:19" ht="15">
      <c r="A70" s="14"/>
      <c r="I70" s="50" t="s">
        <v>51</v>
      </c>
      <c r="J70" s="50"/>
      <c r="S70" s="16"/>
    </row>
    <row r="71" spans="1:19" ht="15">
      <c r="A71" s="14"/>
      <c r="I71" s="50" t="s">
        <v>52</v>
      </c>
      <c r="J71" s="50"/>
      <c r="S71" s="16"/>
    </row>
    <row r="72" spans="1:19" ht="15">
      <c r="A72" s="14"/>
      <c r="I72" s="50" t="s">
        <v>53</v>
      </c>
      <c r="J72" s="50"/>
      <c r="S72" s="16"/>
    </row>
    <row r="73" spans="1:19" ht="15.75" thickBot="1">
      <c r="A73" s="51"/>
      <c r="B73" s="52"/>
      <c r="C73" s="52"/>
      <c r="D73" s="52"/>
      <c r="E73" s="52"/>
      <c r="F73" s="52"/>
      <c r="G73" s="52"/>
      <c r="H73" s="52"/>
      <c r="I73" s="53" t="s">
        <v>54</v>
      </c>
      <c r="J73" s="53"/>
      <c r="K73" s="52"/>
      <c r="L73" s="52"/>
      <c r="M73" s="52"/>
      <c r="N73" s="52"/>
      <c r="O73" s="52"/>
      <c r="P73" s="52"/>
      <c r="Q73" s="52"/>
      <c r="R73" s="52"/>
      <c r="S73" s="54"/>
    </row>
  </sheetData>
  <sheetProtection algorithmName="SHA-512" hashValue="8hzPrR4CXKYem9Ct9AoWwBOzq5PJRU0kk2uqM67+hVpqKG24oJUNpsDDw7nrxrgS6QjGRp9LXt1cYHQhREhKyw==" saltValue="sAwcSKk+yidAWEnRX8JS/g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7">
    <cfRule type="cellIs" dxfId="67" priority="9" operator="notEqual">
      <formula>$R$51</formula>
    </cfRule>
  </conditionalFormatting>
  <conditionalFormatting sqref="O60:O67">
    <cfRule type="cellIs" dxfId="66" priority="8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11647888-E986-4D36-BDB7-0F2FF91FA47D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A2D7B72B-1AA5-4C07-817A-98348E2FD455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DE726F3B-4F08-40B8-8F96-A3F412C0D829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2FDC4FFE-4D13-4AFB-B3CB-107F7A21565F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BB40E7C8-AE0C-4CE9-8A0E-89FFCF63D459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" operator="notEqual" id="{FF380B20-6853-437E-9CF4-8A327240B206}">
            <xm:f>JUNIO!$R$51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7" operator="notEqual" id="{6BCADB2A-FE72-4914-A9BE-112E005BD86E}">
            <xm:f>JULIO!$R$51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391A-A63F-46BD-BE0F-CB9EE5CF561E}">
  <dimension ref="A1:S74"/>
  <sheetViews>
    <sheetView zoomScale="55" zoomScaleNormal="55" workbookViewId="0">
      <selection activeCell="D1" sqref="D1:P6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8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8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+MAYO!B64</f>
        <v>0</v>
      </c>
      <c r="C64" s="103">
        <f>+MAYO!C64</f>
        <v>0</v>
      </c>
      <c r="D64" s="103">
        <f>+MAYO!D64</f>
        <v>0</v>
      </c>
      <c r="E64" s="103">
        <f>+MAYO!E64</f>
        <v>0</v>
      </c>
      <c r="F64" s="105">
        <f>+MAYO!F64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104">
        <f>+JUNIO!B65</f>
        <v>0</v>
      </c>
      <c r="C65" s="103">
        <f>+JUNIO!C65</f>
        <v>0</v>
      </c>
      <c r="D65" s="103">
        <f>+JUNIO!D65</f>
        <v>0</v>
      </c>
      <c r="E65" s="103">
        <f>+JUNIO!E65</f>
        <v>0</v>
      </c>
      <c r="F65" s="105">
        <f>+JUNIO!F65</f>
        <v>0</v>
      </c>
      <c r="G65" s="84">
        <f t="shared" si="6"/>
        <v>0</v>
      </c>
      <c r="I65" s="4" t="s">
        <v>60</v>
      </c>
      <c r="J65" s="113">
        <f>(B65/JUNIO!$R$51)*100</f>
        <v>0</v>
      </c>
      <c r="K65" s="87">
        <f>(C65/JUNIO!$R$51)*100</f>
        <v>0</v>
      </c>
      <c r="L65" s="88">
        <f>(D65/JUNIO!$R$51)*100</f>
        <v>0</v>
      </c>
      <c r="M65" s="88">
        <f>(E65/JUNIO!$R$51)*100</f>
        <v>0</v>
      </c>
      <c r="N65" s="89">
        <f>(F65/JUNIO!$R$51)*100</f>
        <v>0</v>
      </c>
      <c r="O65" s="90">
        <f t="shared" si="7"/>
        <v>0</v>
      </c>
      <c r="P65" s="29"/>
      <c r="Q65" s="29"/>
      <c r="S65" s="16"/>
    </row>
    <row r="66" spans="1:19" ht="15">
      <c r="A66" s="4" t="s">
        <v>61</v>
      </c>
      <c r="B66" s="104">
        <f>+JULIO!B66</f>
        <v>0</v>
      </c>
      <c r="C66" s="103">
        <f>+JULIO!C66</f>
        <v>0</v>
      </c>
      <c r="D66" s="103">
        <f>+JULIO!D66</f>
        <v>0</v>
      </c>
      <c r="E66" s="103">
        <f>+JULIO!E66</f>
        <v>0</v>
      </c>
      <c r="F66" s="105">
        <f>+JULIO!F66</f>
        <v>0</v>
      </c>
      <c r="G66" s="84">
        <f t="shared" si="6"/>
        <v>0</v>
      </c>
      <c r="I66" s="4" t="s">
        <v>61</v>
      </c>
      <c r="J66" s="113">
        <f>(B66/JULIO!$R$51)*100</f>
        <v>0</v>
      </c>
      <c r="K66" s="87">
        <f>(C66/JULIO!$R$51)*100</f>
        <v>0</v>
      </c>
      <c r="L66" s="88">
        <f>(D66/JULIO!$R$51)*100</f>
        <v>0</v>
      </c>
      <c r="M66" s="88">
        <f>(E66/JULIO!$R$51)*100</f>
        <v>0</v>
      </c>
      <c r="N66" s="89">
        <f>(F66/JULIO!$R$51)*100</f>
        <v>0</v>
      </c>
      <c r="O66" s="90">
        <f t="shared" si="7"/>
        <v>0</v>
      </c>
      <c r="P66" s="29"/>
      <c r="Q66" s="29"/>
      <c r="S66" s="16"/>
    </row>
    <row r="67" spans="1:19" ht="15">
      <c r="A67" s="4" t="s">
        <v>62</v>
      </c>
      <c r="B67" s="104">
        <f>+AGOSTO!B67</f>
        <v>0</v>
      </c>
      <c r="C67" s="103">
        <f>+AGOSTO!C67</f>
        <v>0</v>
      </c>
      <c r="D67" s="103">
        <f>+AGOSTO!D67</f>
        <v>0</v>
      </c>
      <c r="E67" s="103">
        <f>+AGOSTO!E67</f>
        <v>0</v>
      </c>
      <c r="F67" s="105">
        <f>+AGOSTO!F67</f>
        <v>0</v>
      </c>
      <c r="G67" s="84">
        <f t="shared" si="6"/>
        <v>0</v>
      </c>
      <c r="I67" s="4" t="s">
        <v>62</v>
      </c>
      <c r="J67" s="113">
        <f>(B67/AGOSTO!$R$51)*100</f>
        <v>0</v>
      </c>
      <c r="K67" s="87">
        <f>(C67/AGOSTO!$R$51)*100</f>
        <v>0</v>
      </c>
      <c r="L67" s="88">
        <f>(D67/AGOSTO!$R$51)*100</f>
        <v>0</v>
      </c>
      <c r="M67" s="88">
        <f>(E67/AGOSTO!$R$51)*100</f>
        <v>0</v>
      </c>
      <c r="N67" s="89">
        <f>(F67/AGOSTO!$R$51)*100</f>
        <v>0</v>
      </c>
      <c r="O67" s="90">
        <f>SUM(J67:N67)/100</f>
        <v>0</v>
      </c>
      <c r="P67" s="29"/>
      <c r="Q67" s="29"/>
      <c r="S67" s="16"/>
    </row>
    <row r="68" spans="1:19" ht="15">
      <c r="A68" s="4" t="s">
        <v>63</v>
      </c>
      <c r="B68" s="43"/>
      <c r="C68" s="44"/>
      <c r="D68" s="44"/>
      <c r="E68" s="45"/>
      <c r="F68" s="45"/>
      <c r="G68" s="84">
        <f t="shared" si="6"/>
        <v>0</v>
      </c>
      <c r="I68" s="4" t="s">
        <v>63</v>
      </c>
      <c r="J68" s="113">
        <f>(B68/$R$51)*100</f>
        <v>0</v>
      </c>
      <c r="K68" s="87">
        <f t="shared" ref="K68:N68" si="8">(C68/$R$51)*100</f>
        <v>0</v>
      </c>
      <c r="L68" s="88">
        <f t="shared" si="8"/>
        <v>0</v>
      </c>
      <c r="M68" s="88">
        <f t="shared" si="8"/>
        <v>0</v>
      </c>
      <c r="N68" s="89">
        <f t="shared" si="8"/>
        <v>0</v>
      </c>
      <c r="O68" s="90">
        <f t="shared" si="7"/>
        <v>0</v>
      </c>
      <c r="P68" s="29"/>
      <c r="Q68" s="29"/>
      <c r="S68" s="16"/>
    </row>
    <row r="69" spans="1:19">
      <c r="A69" s="14"/>
      <c r="S69" s="16"/>
    </row>
    <row r="70" spans="1:19">
      <c r="A70" s="14"/>
      <c r="S70" s="16"/>
    </row>
    <row r="71" spans="1:19" ht="15">
      <c r="A71" s="14"/>
      <c r="I71" s="50" t="s">
        <v>51</v>
      </c>
      <c r="J71" s="50"/>
      <c r="S71" s="16"/>
    </row>
    <row r="72" spans="1:19" ht="15">
      <c r="A72" s="14"/>
      <c r="I72" s="50" t="s">
        <v>52</v>
      </c>
      <c r="J72" s="50"/>
      <c r="S72" s="16"/>
    </row>
    <row r="73" spans="1:19" ht="15">
      <c r="A73" s="14"/>
      <c r="I73" s="50" t="s">
        <v>53</v>
      </c>
      <c r="J73" s="50"/>
      <c r="S73" s="16"/>
    </row>
    <row r="74" spans="1:19" ht="15.75" thickBot="1">
      <c r="A74" s="51"/>
      <c r="B74" s="52"/>
      <c r="C74" s="52"/>
      <c r="D74" s="52"/>
      <c r="E74" s="52"/>
      <c r="F74" s="52"/>
      <c r="G74" s="52"/>
      <c r="H74" s="52"/>
      <c r="I74" s="53" t="s">
        <v>54</v>
      </c>
      <c r="J74" s="53"/>
      <c r="K74" s="52"/>
      <c r="L74" s="52"/>
      <c r="M74" s="52"/>
      <c r="N74" s="52"/>
      <c r="O74" s="52"/>
      <c r="P74" s="52"/>
      <c r="Q74" s="52"/>
      <c r="R74" s="52"/>
      <c r="S74" s="54"/>
    </row>
  </sheetData>
  <sheetProtection algorithmName="SHA-512" hashValue="NCXlTfQJuoqcEA4ue9PCwDKc+FAt1zgUxg59ChDZfXRdfg3MG+i9PHvtyxlQcfNuQYv0Mu2EmSQSG4+X9BN1JQ==" saltValue="NfF2065rEmBYLhT2CdcwGQ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8">
    <cfRule type="cellIs" dxfId="58" priority="10" operator="notEqual">
      <formula>$R$51</formula>
    </cfRule>
  </conditionalFormatting>
  <conditionalFormatting sqref="O60:O68">
    <cfRule type="cellIs" dxfId="57" priority="9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DE94247E-0163-4373-8F23-6B8117D92E91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263F15EB-72B1-441A-9B4C-EFA1B0D8E213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03411D0F-53B4-42BD-AFB8-269B463BB4A0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D53F1537-F1EE-45B4-9A0E-CCF8B38D88EC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9DFC16E9-43D7-4D90-8FE8-81EF1272DDDA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" operator="notEqual" id="{2C9BC7B1-4CF1-4D70-9A31-217B32A2F204}">
            <xm:f>JUNIO!$R$51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7" operator="notEqual" id="{7DBE7E68-7F97-4CBF-B1EA-44C86CE23E92}">
            <xm:f>JULIO!$R$51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8" operator="notEqual" id="{43F94F92-3A01-4CE5-9597-9E273F1081AE}">
            <xm:f>AGOSTO!$R$51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BB32-D3F2-44B5-B6A2-C6E0361813AC}">
  <dimension ref="A1:S75"/>
  <sheetViews>
    <sheetView zoomScale="55" zoomScaleNormal="55" workbookViewId="0">
      <selection activeCell="A14" sqref="A14:R15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7"/>
      <c r="R1" s="197"/>
      <c r="S1" s="198"/>
    </row>
    <row r="2" spans="1:19" ht="14.25" customHeight="1">
      <c r="A2" s="192"/>
      <c r="B2" s="193"/>
      <c r="C2" s="193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9"/>
      <c r="R2" s="199"/>
      <c r="S2" s="200"/>
    </row>
    <row r="3" spans="1:19" ht="14.25" customHeight="1">
      <c r="A3" s="192"/>
      <c r="B3" s="193"/>
      <c r="C3" s="193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9"/>
      <c r="R3" s="199"/>
      <c r="S3" s="200"/>
    </row>
    <row r="4" spans="1:19" ht="14.25" customHeight="1">
      <c r="A4" s="192"/>
      <c r="B4" s="193"/>
      <c r="C4" s="193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9"/>
      <c r="R4" s="199"/>
      <c r="S4" s="200"/>
    </row>
    <row r="5" spans="1:19" ht="14.25" customHeight="1">
      <c r="A5" s="192"/>
      <c r="B5" s="193"/>
      <c r="C5" s="193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9"/>
      <c r="R5" s="199"/>
      <c r="S5" s="200"/>
    </row>
    <row r="6" spans="1:19" ht="14.25" customHeight="1">
      <c r="A6" s="192"/>
      <c r="B6" s="193"/>
      <c r="C6" s="193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>
        <v>5</v>
      </c>
      <c r="E41" s="56">
        <f t="shared" si="1"/>
        <v>5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10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8</v>
      </c>
      <c r="E51" s="67">
        <f t="shared" si="5"/>
        <v>11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86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69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69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+MAYO!B64</f>
        <v>0</v>
      </c>
      <c r="C64" s="103">
        <f>+MAYO!C64</f>
        <v>0</v>
      </c>
      <c r="D64" s="103">
        <f>+MAYO!D64</f>
        <v>0</v>
      </c>
      <c r="E64" s="103">
        <f>+MAYO!E64</f>
        <v>0</v>
      </c>
      <c r="F64" s="105">
        <f>+MAYO!F64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104">
        <f>+JUNIO!B65</f>
        <v>0</v>
      </c>
      <c r="C65" s="103">
        <f>+JUNIO!C65</f>
        <v>0</v>
      </c>
      <c r="D65" s="103">
        <f>+JUNIO!D65</f>
        <v>0</v>
      </c>
      <c r="E65" s="103">
        <f>+JUNIO!E65</f>
        <v>0</v>
      </c>
      <c r="F65" s="105">
        <f>+JUNIO!F65</f>
        <v>0</v>
      </c>
      <c r="G65" s="84">
        <f t="shared" si="6"/>
        <v>0</v>
      </c>
      <c r="I65" s="4" t="s">
        <v>60</v>
      </c>
      <c r="J65" s="113">
        <f>(B65/JUNIO!$R$51)*100</f>
        <v>0</v>
      </c>
      <c r="K65" s="87">
        <f>(C65/JUNIO!$R$51)*100</f>
        <v>0</v>
      </c>
      <c r="L65" s="88">
        <f>(D65/JUNIO!$R$51)*100</f>
        <v>0</v>
      </c>
      <c r="M65" s="88">
        <f>(E65/JUNIO!$R$51)*100</f>
        <v>0</v>
      </c>
      <c r="N65" s="89">
        <f>(F65/JUNIO!$R$51)*100</f>
        <v>0</v>
      </c>
      <c r="O65" s="90">
        <f t="shared" si="7"/>
        <v>0</v>
      </c>
      <c r="P65" s="29"/>
      <c r="Q65" s="29"/>
      <c r="S65" s="16"/>
    </row>
    <row r="66" spans="1:19" ht="15">
      <c r="A66" s="4" t="s">
        <v>61</v>
      </c>
      <c r="B66" s="104">
        <f>+JULIO!B66</f>
        <v>0</v>
      </c>
      <c r="C66" s="103">
        <f>+JULIO!C66</f>
        <v>0</v>
      </c>
      <c r="D66" s="103">
        <f>+JULIO!D66</f>
        <v>0</v>
      </c>
      <c r="E66" s="103">
        <f>+JULIO!E66</f>
        <v>0</v>
      </c>
      <c r="F66" s="105">
        <f>+JULIO!F66</f>
        <v>0</v>
      </c>
      <c r="G66" s="84">
        <f t="shared" si="6"/>
        <v>0</v>
      </c>
      <c r="I66" s="4" t="s">
        <v>61</v>
      </c>
      <c r="J66" s="113">
        <f>(B66/JULIO!$R$51)*100</f>
        <v>0</v>
      </c>
      <c r="K66" s="87">
        <f>(C66/JULIO!$R$51)*100</f>
        <v>0</v>
      </c>
      <c r="L66" s="88">
        <f>(D66/JULIO!$R$51)*100</f>
        <v>0</v>
      </c>
      <c r="M66" s="88">
        <f>(E66/JULIO!$R$51)*100</f>
        <v>0</v>
      </c>
      <c r="N66" s="89">
        <f>(F66/JULIO!$R$51)*100</f>
        <v>0</v>
      </c>
      <c r="O66" s="90">
        <f t="shared" si="7"/>
        <v>0</v>
      </c>
      <c r="P66" s="29"/>
      <c r="Q66" s="29"/>
      <c r="S66" s="16"/>
    </row>
    <row r="67" spans="1:19" ht="15">
      <c r="A67" s="4" t="s">
        <v>62</v>
      </c>
      <c r="B67" s="104">
        <f>+AGOSTO!B67</f>
        <v>0</v>
      </c>
      <c r="C67" s="103">
        <f>+AGOSTO!C67</f>
        <v>0</v>
      </c>
      <c r="D67" s="103">
        <f>+AGOSTO!D67</f>
        <v>0</v>
      </c>
      <c r="E67" s="103">
        <f>+AGOSTO!E67</f>
        <v>0</v>
      </c>
      <c r="F67" s="105">
        <f>+AGOSTO!F67</f>
        <v>0</v>
      </c>
      <c r="G67" s="84">
        <f t="shared" si="6"/>
        <v>0</v>
      </c>
      <c r="I67" s="4" t="s">
        <v>62</v>
      </c>
      <c r="J67" s="113">
        <f>(B67/AGOSTO!$R$51)*100</f>
        <v>0</v>
      </c>
      <c r="K67" s="87">
        <f>(C67/AGOSTO!$R$51)*100</f>
        <v>0</v>
      </c>
      <c r="L67" s="88">
        <f>(D67/AGOSTO!$R$51)*100</f>
        <v>0</v>
      </c>
      <c r="M67" s="88">
        <f>(E67/AGOSTO!$R$51)*100</f>
        <v>0</v>
      </c>
      <c r="N67" s="89">
        <f>(F67/AGOSTO!$R$51)*100</f>
        <v>0</v>
      </c>
      <c r="O67" s="90">
        <f t="shared" si="7"/>
        <v>0</v>
      </c>
      <c r="P67" s="29"/>
      <c r="Q67" s="29"/>
      <c r="S67" s="16"/>
    </row>
    <row r="68" spans="1:19" ht="15">
      <c r="A68" s="4" t="s">
        <v>63</v>
      </c>
      <c r="B68" s="104">
        <f>+SEPTIEMBRE!B68</f>
        <v>0</v>
      </c>
      <c r="C68" s="103">
        <f>+SEPTIEMBRE!C68</f>
        <v>0</v>
      </c>
      <c r="D68" s="103">
        <f>+SEPTIEMBRE!D68</f>
        <v>0</v>
      </c>
      <c r="E68" s="103">
        <f>+SEPTIEMBRE!E68</f>
        <v>0</v>
      </c>
      <c r="F68" s="105">
        <f>+SEPTIEMBRE!F68</f>
        <v>0</v>
      </c>
      <c r="G68" s="84">
        <f t="shared" si="6"/>
        <v>0</v>
      </c>
      <c r="I68" s="4" t="s">
        <v>63</v>
      </c>
      <c r="J68" s="113">
        <f>(B68/SEPTIEMBRE!$R$51)*100</f>
        <v>0</v>
      </c>
      <c r="K68" s="87">
        <f>(C68/SEPTIEMBRE!$R$51)*100</f>
        <v>0</v>
      </c>
      <c r="L68" s="88">
        <f>(D68/SEPTIEMBRE!$R$51)*100</f>
        <v>0</v>
      </c>
      <c r="M68" s="88">
        <f>(E68/SEPTIEMBRE!$R$51)*100</f>
        <v>0</v>
      </c>
      <c r="N68" s="89">
        <f>(F68/SEPTIEMBRE!$R$51)*100</f>
        <v>0</v>
      </c>
      <c r="O68" s="90">
        <f t="shared" si="7"/>
        <v>0</v>
      </c>
      <c r="P68" s="29"/>
      <c r="Q68" s="29"/>
      <c r="S68" s="16"/>
    </row>
    <row r="69" spans="1:19" ht="15">
      <c r="A69" s="4" t="s">
        <v>64</v>
      </c>
      <c r="B69" s="43"/>
      <c r="C69" s="44"/>
      <c r="D69" s="44"/>
      <c r="E69" s="45"/>
      <c r="F69" s="45"/>
      <c r="G69" s="84">
        <f t="shared" si="6"/>
        <v>0</v>
      </c>
      <c r="I69" s="4" t="s">
        <v>64</v>
      </c>
      <c r="J69" s="113">
        <f>(B69/$R$51)*100</f>
        <v>0</v>
      </c>
      <c r="K69" s="87">
        <f t="shared" ref="K69:N69" si="8">(C69/$R$51)*100</f>
        <v>0</v>
      </c>
      <c r="L69" s="88">
        <f t="shared" si="8"/>
        <v>0</v>
      </c>
      <c r="M69" s="88">
        <f t="shared" si="8"/>
        <v>0</v>
      </c>
      <c r="N69" s="89">
        <f t="shared" si="8"/>
        <v>0</v>
      </c>
      <c r="O69" s="90">
        <f t="shared" si="7"/>
        <v>0</v>
      </c>
      <c r="P69" s="29"/>
      <c r="Q69" s="29"/>
      <c r="S69" s="16"/>
    </row>
    <row r="70" spans="1:19">
      <c r="A70" s="14"/>
      <c r="S70" s="16"/>
    </row>
    <row r="71" spans="1:19">
      <c r="A71" s="14"/>
      <c r="S71" s="16"/>
    </row>
    <row r="72" spans="1:19" ht="15">
      <c r="A72" s="14"/>
      <c r="I72" s="50" t="s">
        <v>51</v>
      </c>
      <c r="J72" s="50"/>
      <c r="S72" s="16"/>
    </row>
    <row r="73" spans="1:19" ht="15">
      <c r="A73" s="14"/>
      <c r="I73" s="50" t="s">
        <v>52</v>
      </c>
      <c r="J73" s="50"/>
      <c r="S73" s="16"/>
    </row>
    <row r="74" spans="1:19" ht="15">
      <c r="A74" s="14"/>
      <c r="I74" s="50" t="s">
        <v>53</v>
      </c>
      <c r="J74" s="50"/>
      <c r="S74" s="16"/>
    </row>
    <row r="75" spans="1:19" ht="15.75" thickBot="1">
      <c r="A75" s="51"/>
      <c r="B75" s="52"/>
      <c r="C75" s="52"/>
      <c r="D75" s="52"/>
      <c r="E75" s="52"/>
      <c r="F75" s="52"/>
      <c r="G75" s="52"/>
      <c r="H75" s="52"/>
      <c r="I75" s="53" t="s">
        <v>54</v>
      </c>
      <c r="J75" s="53"/>
      <c r="K75" s="52"/>
      <c r="L75" s="52"/>
      <c r="M75" s="52"/>
      <c r="N75" s="52"/>
      <c r="O75" s="52"/>
      <c r="P75" s="52"/>
      <c r="Q75" s="52"/>
      <c r="R75" s="52"/>
      <c r="S75" s="54"/>
    </row>
  </sheetData>
  <sheetProtection algorithmName="SHA-512" hashValue="bflKdv+29ryZ+FlKoW0pXFsaVt9xmq4D6pBlHWB7LgRRDKdFRNQEXMjttAeN1bBg+jQgzxu/ijdih1LmVB+lXQ==" saltValue="FZB3a0BxLecnLbN3p3C1zg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69">
    <cfRule type="cellIs" dxfId="48" priority="11" operator="notEqual">
      <formula>$R$51</formula>
    </cfRule>
  </conditionalFormatting>
  <conditionalFormatting sqref="O60:O69">
    <cfRule type="cellIs" dxfId="47" priority="10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F1FC21CB-634D-40CA-810F-6ADAB488A468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41C81E19-32A7-4B71-8011-9303F4C1A011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8279D959-1B47-422B-8A0F-9F8FB3D636F4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DBB31858-EE10-4033-B06A-FAD477874568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C9A65081-EC28-4788-A627-0296F2446F09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" operator="notEqual" id="{68157E51-578B-4479-8AC4-23AD4823B604}">
            <xm:f>JUNIO!$R$51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7" operator="notEqual" id="{73E2C742-7BDB-405C-BE1F-7087C200A1A0}">
            <xm:f>JULIO!$R$51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8" operator="notEqual" id="{0EC9BFF4-2D1A-4B1C-9028-B58A0416EC5A}">
            <xm:f>AGOSTO!$R$51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9" operator="notEqual" id="{C6301872-91F8-4A39-99E5-100F192738F1}">
            <xm:f>SEPTIEMBRE!$R$51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36D3-D899-4F6A-9D30-E0E216DE145B}">
  <dimension ref="A1:S76"/>
  <sheetViews>
    <sheetView zoomScale="55" zoomScaleNormal="55" workbookViewId="0">
      <selection activeCell="D1" sqref="D1:P6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7"/>
      <c r="R1" s="197"/>
      <c r="S1" s="198"/>
    </row>
    <row r="2" spans="1:19" ht="14.25" customHeight="1">
      <c r="A2" s="192"/>
      <c r="B2" s="193"/>
      <c r="C2" s="193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199"/>
      <c r="R2" s="199"/>
      <c r="S2" s="200"/>
    </row>
    <row r="3" spans="1:19" ht="14.25" customHeight="1">
      <c r="A3" s="192"/>
      <c r="B3" s="193"/>
      <c r="C3" s="193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199"/>
      <c r="R3" s="199"/>
      <c r="S3" s="200"/>
    </row>
    <row r="4" spans="1:19" ht="14.25" customHeight="1">
      <c r="A4" s="192"/>
      <c r="B4" s="193"/>
      <c r="C4" s="193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199"/>
      <c r="R4" s="199"/>
      <c r="S4" s="200"/>
    </row>
    <row r="5" spans="1:19" ht="14.25" customHeight="1">
      <c r="A5" s="192"/>
      <c r="B5" s="193"/>
      <c r="C5" s="193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199"/>
      <c r="R5" s="199"/>
      <c r="S5" s="200"/>
    </row>
    <row r="6" spans="1:19" ht="14.25" customHeight="1">
      <c r="A6" s="192"/>
      <c r="B6" s="193"/>
      <c r="C6" s="193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+ENERO!B60</f>
        <v>0</v>
      </c>
      <c r="C60" s="103">
        <f>+ENERO!C60</f>
        <v>0</v>
      </c>
      <c r="D60" s="103">
        <f>+ENERO!D60</f>
        <v>0</v>
      </c>
      <c r="E60" s="103">
        <f>+ENERO!E60</f>
        <v>0</v>
      </c>
      <c r="F60" s="105">
        <f>+ENERO!F60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+FEBRERO!B61</f>
        <v>0</v>
      </c>
      <c r="C61" s="103">
        <f>+FEBRERO!C61</f>
        <v>0</v>
      </c>
      <c r="D61" s="103">
        <f>+FEBRERO!D61</f>
        <v>0</v>
      </c>
      <c r="E61" s="103">
        <f>+FEBRERO!E61</f>
        <v>0</v>
      </c>
      <c r="F61" s="103">
        <f>+FEBRERO!F61</f>
        <v>0</v>
      </c>
      <c r="G61" s="84">
        <f t="shared" ref="G61:G70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70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+MARZO!B62</f>
        <v>0</v>
      </c>
      <c r="C62" s="103">
        <f>+MARZO!C62</f>
        <v>0</v>
      </c>
      <c r="D62" s="103">
        <f>+MARZO!D62</f>
        <v>0</v>
      </c>
      <c r="E62" s="103">
        <f>+MARZO!E62</f>
        <v>0</v>
      </c>
      <c r="F62" s="105">
        <f>+MARZO!F62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+ABRIL!B63</f>
        <v>0</v>
      </c>
      <c r="C63" s="103">
        <f>+ABRIL!C63</f>
        <v>0</v>
      </c>
      <c r="D63" s="103">
        <f>+ABRIL!D63</f>
        <v>0</v>
      </c>
      <c r="E63" s="103">
        <f>+ABRIL!E63</f>
        <v>0</v>
      </c>
      <c r="F63" s="105">
        <f>+ABRIL!F63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+MAYO!B64</f>
        <v>0</v>
      </c>
      <c r="C64" s="103">
        <f>+MAYO!C64</f>
        <v>0</v>
      </c>
      <c r="D64" s="103">
        <f>+MAYO!D64</f>
        <v>0</v>
      </c>
      <c r="E64" s="103">
        <f>+MAYO!E64</f>
        <v>0</v>
      </c>
      <c r="F64" s="105">
        <f>+MAYO!F64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104">
        <f>+JUNIO!B65</f>
        <v>0</v>
      </c>
      <c r="C65" s="103">
        <f>+JUNIO!C65</f>
        <v>0</v>
      </c>
      <c r="D65" s="103">
        <f>+JUNIO!D65</f>
        <v>0</v>
      </c>
      <c r="E65" s="103">
        <f>+JUNIO!E65</f>
        <v>0</v>
      </c>
      <c r="F65" s="105">
        <f>+JUNIO!F65</f>
        <v>0</v>
      </c>
      <c r="G65" s="84">
        <f t="shared" si="6"/>
        <v>0</v>
      </c>
      <c r="I65" s="4" t="s">
        <v>60</v>
      </c>
      <c r="J65" s="113">
        <f>(B65/JUNIO!$R$51)*100</f>
        <v>0</v>
      </c>
      <c r="K65" s="87">
        <f>(C65/JUNIO!$R$51)*100</f>
        <v>0</v>
      </c>
      <c r="L65" s="88">
        <f>(D65/JUNIO!$R$51)*100</f>
        <v>0</v>
      </c>
      <c r="M65" s="88">
        <f>(E65/JUNIO!$R$51)*100</f>
        <v>0</v>
      </c>
      <c r="N65" s="89">
        <f>(F65/JUNIO!$R$51)*100</f>
        <v>0</v>
      </c>
      <c r="O65" s="90">
        <f t="shared" si="7"/>
        <v>0</v>
      </c>
      <c r="P65" s="29"/>
      <c r="Q65" s="29"/>
      <c r="S65" s="16"/>
    </row>
    <row r="66" spans="1:19" ht="15">
      <c r="A66" s="4" t="s">
        <v>61</v>
      </c>
      <c r="B66" s="104">
        <f>+JULIO!B66</f>
        <v>0</v>
      </c>
      <c r="C66" s="103">
        <f>+JULIO!C66</f>
        <v>0</v>
      </c>
      <c r="D66" s="103">
        <f>+JULIO!D66</f>
        <v>0</v>
      </c>
      <c r="E66" s="103">
        <f>+JULIO!E66</f>
        <v>0</v>
      </c>
      <c r="F66" s="105">
        <f>+JULIO!F66</f>
        <v>0</v>
      </c>
      <c r="G66" s="84">
        <f t="shared" si="6"/>
        <v>0</v>
      </c>
      <c r="I66" s="4" t="s">
        <v>61</v>
      </c>
      <c r="J66" s="113">
        <f>(B66/JULIO!$R$51)*100</f>
        <v>0</v>
      </c>
      <c r="K66" s="87">
        <f>(C66/JULIO!$R$51)*100</f>
        <v>0</v>
      </c>
      <c r="L66" s="88">
        <f>(D66/JULIO!$R$51)*100</f>
        <v>0</v>
      </c>
      <c r="M66" s="88">
        <f>(E66/JULIO!$R$51)*100</f>
        <v>0</v>
      </c>
      <c r="N66" s="89">
        <f>(F66/JULIO!$R$51)*100</f>
        <v>0</v>
      </c>
      <c r="O66" s="90">
        <f t="shared" si="7"/>
        <v>0</v>
      </c>
      <c r="P66" s="29"/>
      <c r="Q66" s="29"/>
      <c r="S66" s="16"/>
    </row>
    <row r="67" spans="1:19" ht="15">
      <c r="A67" s="4" t="s">
        <v>62</v>
      </c>
      <c r="B67" s="104">
        <f>+AGOSTO!B67</f>
        <v>0</v>
      </c>
      <c r="C67" s="103">
        <f>+AGOSTO!C67</f>
        <v>0</v>
      </c>
      <c r="D67" s="103">
        <f>+AGOSTO!D67</f>
        <v>0</v>
      </c>
      <c r="E67" s="103">
        <f>+AGOSTO!E67</f>
        <v>0</v>
      </c>
      <c r="F67" s="105">
        <f>+AGOSTO!F67</f>
        <v>0</v>
      </c>
      <c r="G67" s="84">
        <f t="shared" si="6"/>
        <v>0</v>
      </c>
      <c r="I67" s="4" t="s">
        <v>62</v>
      </c>
      <c r="J67" s="113">
        <f>(B67/AGOSTO!$R$51)*100</f>
        <v>0</v>
      </c>
      <c r="K67" s="87">
        <f>(C67/AGOSTO!$R$51)*100</f>
        <v>0</v>
      </c>
      <c r="L67" s="88">
        <f>(D67/AGOSTO!$R$51)*100</f>
        <v>0</v>
      </c>
      <c r="M67" s="88">
        <f>(E67/AGOSTO!$R$51)*100</f>
        <v>0</v>
      </c>
      <c r="N67" s="89">
        <f>(F67/AGOSTO!$R$51)*100</f>
        <v>0</v>
      </c>
      <c r="O67" s="90">
        <f t="shared" si="7"/>
        <v>0</v>
      </c>
      <c r="P67" s="29"/>
      <c r="Q67" s="29"/>
      <c r="S67" s="16"/>
    </row>
    <row r="68" spans="1:19" ht="15">
      <c r="A68" s="4" t="s">
        <v>63</v>
      </c>
      <c r="B68" s="104">
        <f>+SEPTIEMBRE!B68</f>
        <v>0</v>
      </c>
      <c r="C68" s="103">
        <f>+SEPTIEMBRE!C68</f>
        <v>0</v>
      </c>
      <c r="D68" s="103">
        <f>+SEPTIEMBRE!D68</f>
        <v>0</v>
      </c>
      <c r="E68" s="103">
        <f>+SEPTIEMBRE!E68</f>
        <v>0</v>
      </c>
      <c r="F68" s="105">
        <f>+SEPTIEMBRE!F68</f>
        <v>0</v>
      </c>
      <c r="G68" s="84">
        <f t="shared" si="6"/>
        <v>0</v>
      </c>
      <c r="I68" s="4" t="s">
        <v>63</v>
      </c>
      <c r="J68" s="113">
        <f>(B68/SEPTIEMBRE!$R$51)*100</f>
        <v>0</v>
      </c>
      <c r="K68" s="87">
        <f>(C68/SEPTIEMBRE!$R$51)*100</f>
        <v>0</v>
      </c>
      <c r="L68" s="88">
        <f>(D68/SEPTIEMBRE!$R$51)*100</f>
        <v>0</v>
      </c>
      <c r="M68" s="88">
        <f>(E68/SEPTIEMBRE!$R$51)*100</f>
        <v>0</v>
      </c>
      <c r="N68" s="89">
        <f>(F68/SEPTIEMBRE!$R$51)*100</f>
        <v>0</v>
      </c>
      <c r="O68" s="90">
        <f t="shared" si="7"/>
        <v>0</v>
      </c>
      <c r="P68" s="29"/>
      <c r="Q68" s="29"/>
      <c r="S68" s="16"/>
    </row>
    <row r="69" spans="1:19" ht="15">
      <c r="A69" s="4" t="s">
        <v>64</v>
      </c>
      <c r="B69" s="104">
        <f>+OCTUBRE!B69</f>
        <v>0</v>
      </c>
      <c r="C69" s="103">
        <f>+OCTUBRE!C69</f>
        <v>0</v>
      </c>
      <c r="D69" s="103">
        <f>+OCTUBRE!D69</f>
        <v>0</v>
      </c>
      <c r="E69" s="103">
        <f>+OCTUBRE!E69</f>
        <v>0</v>
      </c>
      <c r="F69" s="105">
        <f>+OCTUBRE!F69</f>
        <v>0</v>
      </c>
      <c r="G69" s="84">
        <f t="shared" si="6"/>
        <v>0</v>
      </c>
      <c r="I69" s="4" t="s">
        <v>64</v>
      </c>
      <c r="J69" s="113">
        <f>(B69/OCTUBRE!$R$51)*100</f>
        <v>0</v>
      </c>
      <c r="K69" s="87">
        <f>(C69/OCTUBRE!$R$51)*100</f>
        <v>0</v>
      </c>
      <c r="L69" s="88">
        <f>(D69/OCTUBRE!$R$51)*100</f>
        <v>0</v>
      </c>
      <c r="M69" s="88">
        <f>(E69/OCTUBRE!$R$51)*100</f>
        <v>0</v>
      </c>
      <c r="N69" s="89">
        <f>(F69/OCTUBRE!$R$51)*100</f>
        <v>0</v>
      </c>
      <c r="O69" s="90">
        <f t="shared" si="7"/>
        <v>0</v>
      </c>
      <c r="P69" s="29"/>
      <c r="Q69" s="29"/>
      <c r="S69" s="16"/>
    </row>
    <row r="70" spans="1:19" ht="15">
      <c r="A70" s="4" t="s">
        <v>65</v>
      </c>
      <c r="B70" s="43"/>
      <c r="C70" s="44"/>
      <c r="D70" s="44"/>
      <c r="E70" s="45"/>
      <c r="F70" s="45"/>
      <c r="G70" s="84">
        <f t="shared" si="6"/>
        <v>0</v>
      </c>
      <c r="I70" s="4" t="s">
        <v>65</v>
      </c>
      <c r="J70" s="113">
        <f>(B70/$R$51)*100</f>
        <v>0</v>
      </c>
      <c r="K70" s="87">
        <f t="shared" ref="K70:N70" si="8">(C70/$R$51)*100</f>
        <v>0</v>
      </c>
      <c r="L70" s="88">
        <f t="shared" si="8"/>
        <v>0</v>
      </c>
      <c r="M70" s="88">
        <f t="shared" si="8"/>
        <v>0</v>
      </c>
      <c r="N70" s="89">
        <f t="shared" si="8"/>
        <v>0</v>
      </c>
      <c r="O70" s="90">
        <f t="shared" si="7"/>
        <v>0</v>
      </c>
      <c r="P70" s="29"/>
      <c r="Q70" s="29"/>
      <c r="S70" s="16"/>
    </row>
    <row r="71" spans="1:19">
      <c r="A71" s="14"/>
      <c r="S71" s="16"/>
    </row>
    <row r="72" spans="1:19">
      <c r="A72" s="14"/>
      <c r="S72" s="16"/>
    </row>
    <row r="73" spans="1:19" ht="15">
      <c r="A73" s="14"/>
      <c r="I73" s="50" t="s">
        <v>51</v>
      </c>
      <c r="J73" s="50"/>
      <c r="S73" s="16"/>
    </row>
    <row r="74" spans="1:19" ht="15">
      <c r="A74" s="14"/>
      <c r="I74" s="50" t="s">
        <v>52</v>
      </c>
      <c r="J74" s="50"/>
      <c r="S74" s="16"/>
    </row>
    <row r="75" spans="1:19" ht="15">
      <c r="A75" s="14"/>
      <c r="I75" s="50" t="s">
        <v>53</v>
      </c>
      <c r="J75" s="50"/>
      <c r="S75" s="16"/>
    </row>
    <row r="76" spans="1:19" ht="15.75" thickBot="1">
      <c r="A76" s="51"/>
      <c r="B76" s="52"/>
      <c r="C76" s="52"/>
      <c r="D76" s="52"/>
      <c r="E76" s="52"/>
      <c r="F76" s="52"/>
      <c r="G76" s="52"/>
      <c r="H76" s="52"/>
      <c r="I76" s="53" t="s">
        <v>54</v>
      </c>
      <c r="J76" s="53"/>
      <c r="K76" s="52"/>
      <c r="L76" s="52"/>
      <c r="M76" s="52"/>
      <c r="N76" s="52"/>
      <c r="O76" s="52"/>
      <c r="P76" s="52"/>
      <c r="Q76" s="52"/>
      <c r="R76" s="52"/>
      <c r="S76" s="54"/>
    </row>
  </sheetData>
  <sheetProtection algorithmName="SHA-512" hashValue="u5J+cjZra+eP/IIVvBsHAfknBMHzKNQPZUJ0S5Pz6HOYnXEDy+UiAPrMp9XEFrk/8JGSLJmuy0iXMRCEr27YRQ==" saltValue="TV8/k2iOo/xHaQFE+YUHYA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70">
    <cfRule type="cellIs" dxfId="37" priority="12" operator="notEqual">
      <formula>$R$51</formula>
    </cfRule>
  </conditionalFormatting>
  <conditionalFormatting sqref="O60:O70">
    <cfRule type="cellIs" dxfId="36" priority="11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739DA0F7-5CEA-4B72-B068-47B13442661B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19C48432-C78F-43B1-B89C-8806A1788884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09C2DD6D-2CEE-4735-BB8B-CCE4F04FFAF6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3030C30F-B7A5-4FFD-A72F-2529E2A8FCBA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375DCAED-1F12-4731-91CC-FC709C1AA170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" operator="notEqual" id="{92DB1F20-21C1-40B2-98D5-C549F384F3BF}">
            <xm:f>JUNIO!$R$51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7" operator="notEqual" id="{40DA96F5-CF43-4319-B640-9D07A637DEB5}">
            <xm:f>JULIO!$R$51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8" operator="notEqual" id="{80C8945C-5505-4005-9204-8E1AEFF211D9}">
            <xm:f>AGOSTO!$R$51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9" operator="notEqual" id="{179F5497-D907-4E6A-AEC6-D50DDDB9CF32}">
            <xm:f>SEPTIEMBRE!$R$51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10" operator="notEqual" id="{440A8CD8-6788-4B26-BD3F-441744169474}">
            <xm:f>OCTUBRE!$R$51</xm:f>
            <x14:dxf>
              <fill>
                <patternFill>
                  <bgColor rgb="FFFF0000"/>
                </patternFill>
              </fill>
            </x14:dxf>
          </x14:cfRule>
          <xm:sqref>G69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ECF4-6757-4B0B-A4A5-F91597DAF478}">
  <dimension ref="A1:S77"/>
  <sheetViews>
    <sheetView zoomScale="55" zoomScaleNormal="55" workbookViewId="0">
      <selection activeCell="D1" sqref="D1:P6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7"/>
      <c r="R1" s="197"/>
      <c r="S1" s="198"/>
    </row>
    <row r="2" spans="1:19" ht="14.25" customHeight="1">
      <c r="A2" s="192"/>
      <c r="B2" s="193"/>
      <c r="C2" s="193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199"/>
      <c r="R2" s="199"/>
      <c r="S2" s="200"/>
    </row>
    <row r="3" spans="1:19" ht="14.25" customHeight="1">
      <c r="A3" s="192"/>
      <c r="B3" s="193"/>
      <c r="C3" s="193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199"/>
      <c r="R3" s="199"/>
      <c r="S3" s="200"/>
    </row>
    <row r="4" spans="1:19" ht="14.25" customHeight="1">
      <c r="A4" s="192"/>
      <c r="B4" s="193"/>
      <c r="C4" s="193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199"/>
      <c r="R4" s="199"/>
      <c r="S4" s="200"/>
    </row>
    <row r="5" spans="1:19" ht="14.25" customHeight="1">
      <c r="A5" s="192"/>
      <c r="B5" s="193"/>
      <c r="C5" s="193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199"/>
      <c r="R5" s="199"/>
      <c r="S5" s="200"/>
    </row>
    <row r="6" spans="1:19" ht="14.25" customHeight="1">
      <c r="A6" s="192"/>
      <c r="B6" s="193"/>
      <c r="C6" s="193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8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12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/>
      <c r="B20" s="2">
        <v>1</v>
      </c>
      <c r="C20" s="3">
        <v>2</v>
      </c>
      <c r="D20" s="3">
        <v>3</v>
      </c>
      <c r="E20" s="55">
        <f>SUM(B20:D20)</f>
        <v>6</v>
      </c>
      <c r="F20" s="2">
        <v>4</v>
      </c>
      <c r="G20" s="3">
        <v>5</v>
      </c>
      <c r="H20" s="3">
        <v>6</v>
      </c>
      <c r="I20" s="3">
        <v>7</v>
      </c>
      <c r="J20" s="55">
        <f>SUM(F20:I20)</f>
        <v>22</v>
      </c>
      <c r="K20" s="2">
        <v>8</v>
      </c>
      <c r="L20" s="3">
        <v>9</v>
      </c>
      <c r="M20" s="3">
        <v>0</v>
      </c>
      <c r="N20" s="3">
        <v>1</v>
      </c>
      <c r="O20" s="10">
        <v>2</v>
      </c>
      <c r="P20" s="58">
        <f>SUM(K20:O20)</f>
        <v>20</v>
      </c>
      <c r="Q20" s="59">
        <f>J20+P20</f>
        <v>42</v>
      </c>
      <c r="R20" s="60">
        <f t="shared" ref="R20:R50" si="0">SUM(B20:O20)</f>
        <v>76</v>
      </c>
      <c r="S20" s="16"/>
    </row>
    <row r="21" spans="1:19" ht="15">
      <c r="A21" s="4"/>
      <c r="B21" s="5"/>
      <c r="C21" s="6"/>
      <c r="D21" s="6"/>
      <c r="E21" s="56">
        <f t="shared" ref="E21:E50" si="1">SUM(B21:D21)</f>
        <v>0</v>
      </c>
      <c r="F21" s="5"/>
      <c r="G21" s="6"/>
      <c r="H21" s="6"/>
      <c r="I21" s="6"/>
      <c r="J21" s="56">
        <f t="shared" ref="J21:J50" si="2">SUM(F21:I21)</f>
        <v>0</v>
      </c>
      <c r="K21" s="5"/>
      <c r="L21" s="6"/>
      <c r="M21" s="6"/>
      <c r="N21" s="6"/>
      <c r="O21" s="11"/>
      <c r="P21" s="61">
        <f t="shared" ref="P21:P50" si="3">SUM(K21:O21)</f>
        <v>0</v>
      </c>
      <c r="Q21" s="62">
        <f t="shared" ref="Q21:Q50" si="4">J21+P21</f>
        <v>0</v>
      </c>
      <c r="R21" s="63">
        <f t="shared" si="0"/>
        <v>0</v>
      </c>
      <c r="S21" s="16"/>
    </row>
    <row r="22" spans="1:19" ht="15">
      <c r="A22" s="4"/>
      <c r="B22" s="5"/>
      <c r="C22" s="6"/>
      <c r="D22" s="6"/>
      <c r="E22" s="56">
        <f t="shared" si="1"/>
        <v>0</v>
      </c>
      <c r="F22" s="5"/>
      <c r="G22" s="6"/>
      <c r="H22" s="6"/>
      <c r="I22" s="6"/>
      <c r="J22" s="56">
        <f t="shared" si="2"/>
        <v>0</v>
      </c>
      <c r="K22" s="5"/>
      <c r="L22" s="6"/>
      <c r="M22" s="6"/>
      <c r="N22" s="6"/>
      <c r="O22" s="11"/>
      <c r="P22" s="61">
        <f t="shared" si="3"/>
        <v>0</v>
      </c>
      <c r="Q22" s="62">
        <f t="shared" si="4"/>
        <v>0</v>
      </c>
      <c r="R22" s="63">
        <f t="shared" si="0"/>
        <v>0</v>
      </c>
      <c r="S22" s="16"/>
    </row>
    <row r="23" spans="1:19" ht="15">
      <c r="A23" s="4"/>
      <c r="B23" s="5"/>
      <c r="C23" s="6"/>
      <c r="D23" s="6"/>
      <c r="E23" s="56">
        <f t="shared" si="1"/>
        <v>0</v>
      </c>
      <c r="F23" s="5"/>
      <c r="G23" s="6"/>
      <c r="H23" s="6"/>
      <c r="I23" s="6"/>
      <c r="J23" s="56">
        <f t="shared" si="2"/>
        <v>0</v>
      </c>
      <c r="K23" s="5"/>
      <c r="L23" s="6"/>
      <c r="M23" s="6"/>
      <c r="N23" s="6"/>
      <c r="O23" s="11"/>
      <c r="P23" s="61">
        <f t="shared" si="3"/>
        <v>0</v>
      </c>
      <c r="Q23" s="62">
        <f t="shared" si="4"/>
        <v>0</v>
      </c>
      <c r="R23" s="63">
        <f t="shared" si="0"/>
        <v>0</v>
      </c>
      <c r="S23" s="16"/>
    </row>
    <row r="24" spans="1:19" ht="15">
      <c r="A24" s="4"/>
      <c r="B24" s="5"/>
      <c r="C24" s="6"/>
      <c r="D24" s="6"/>
      <c r="E24" s="56">
        <f t="shared" si="1"/>
        <v>0</v>
      </c>
      <c r="F24" s="5"/>
      <c r="G24" s="6"/>
      <c r="H24" s="6"/>
      <c r="I24" s="6"/>
      <c r="J24" s="56">
        <f t="shared" si="2"/>
        <v>0</v>
      </c>
      <c r="K24" s="5"/>
      <c r="L24" s="6"/>
      <c r="M24" s="6"/>
      <c r="N24" s="6"/>
      <c r="O24" s="11"/>
      <c r="P24" s="61">
        <f t="shared" si="3"/>
        <v>0</v>
      </c>
      <c r="Q24" s="62">
        <f t="shared" si="4"/>
        <v>0</v>
      </c>
      <c r="R24" s="63">
        <f t="shared" si="0"/>
        <v>0</v>
      </c>
      <c r="S24" s="16"/>
    </row>
    <row r="25" spans="1:19" ht="15">
      <c r="A25" s="4"/>
      <c r="B25" s="5"/>
      <c r="C25" s="6"/>
      <c r="D25" s="6"/>
      <c r="E25" s="56">
        <f t="shared" si="1"/>
        <v>0</v>
      </c>
      <c r="F25" s="5"/>
      <c r="G25" s="6"/>
      <c r="H25" s="6"/>
      <c r="I25" s="6"/>
      <c r="J25" s="56">
        <f t="shared" si="2"/>
        <v>0</v>
      </c>
      <c r="K25" s="5"/>
      <c r="L25" s="6"/>
      <c r="M25" s="6"/>
      <c r="N25" s="6"/>
      <c r="O25" s="11"/>
      <c r="P25" s="61">
        <f t="shared" si="3"/>
        <v>0</v>
      </c>
      <c r="Q25" s="62">
        <f t="shared" si="4"/>
        <v>0</v>
      </c>
      <c r="R25" s="63">
        <f t="shared" si="0"/>
        <v>0</v>
      </c>
      <c r="S25" s="16"/>
    </row>
    <row r="26" spans="1:19" ht="15">
      <c r="A26" s="4"/>
      <c r="B26" s="5"/>
      <c r="C26" s="6"/>
      <c r="D26" s="6"/>
      <c r="E26" s="56">
        <f t="shared" si="1"/>
        <v>0</v>
      </c>
      <c r="F26" s="5"/>
      <c r="G26" s="6"/>
      <c r="H26" s="6"/>
      <c r="I26" s="6"/>
      <c r="J26" s="56">
        <f t="shared" si="2"/>
        <v>0</v>
      </c>
      <c r="K26" s="5"/>
      <c r="L26" s="6"/>
      <c r="M26" s="6"/>
      <c r="N26" s="6"/>
      <c r="O26" s="11"/>
      <c r="P26" s="61">
        <f t="shared" si="3"/>
        <v>0</v>
      </c>
      <c r="Q26" s="62">
        <f t="shared" si="4"/>
        <v>0</v>
      </c>
      <c r="R26" s="63">
        <f t="shared" si="0"/>
        <v>0</v>
      </c>
      <c r="S26" s="16"/>
    </row>
    <row r="27" spans="1:19" ht="15">
      <c r="A27" s="4"/>
      <c r="B27" s="5"/>
      <c r="C27" s="6"/>
      <c r="D27" s="6"/>
      <c r="E27" s="56">
        <f t="shared" si="1"/>
        <v>0</v>
      </c>
      <c r="F27" s="5"/>
      <c r="G27" s="6"/>
      <c r="H27" s="6"/>
      <c r="I27" s="6"/>
      <c r="J27" s="56">
        <f t="shared" si="2"/>
        <v>0</v>
      </c>
      <c r="K27" s="5"/>
      <c r="L27" s="6"/>
      <c r="M27" s="6"/>
      <c r="N27" s="6"/>
      <c r="O27" s="11"/>
      <c r="P27" s="61">
        <f t="shared" si="3"/>
        <v>0</v>
      </c>
      <c r="Q27" s="62">
        <f t="shared" si="4"/>
        <v>0</v>
      </c>
      <c r="R27" s="63">
        <f t="shared" si="0"/>
        <v>0</v>
      </c>
      <c r="S27" s="16"/>
    </row>
    <row r="28" spans="1:19" ht="15">
      <c r="A28" s="4"/>
      <c r="B28" s="5"/>
      <c r="C28" s="6"/>
      <c r="D28" s="6"/>
      <c r="E28" s="56">
        <f t="shared" si="1"/>
        <v>0</v>
      </c>
      <c r="F28" s="5"/>
      <c r="G28" s="6"/>
      <c r="H28" s="6"/>
      <c r="I28" s="6"/>
      <c r="J28" s="56">
        <f t="shared" si="2"/>
        <v>0</v>
      </c>
      <c r="K28" s="5"/>
      <c r="L28" s="6"/>
      <c r="M28" s="6"/>
      <c r="N28" s="6"/>
      <c r="O28" s="11"/>
      <c r="P28" s="61">
        <f t="shared" si="3"/>
        <v>0</v>
      </c>
      <c r="Q28" s="62">
        <f t="shared" si="4"/>
        <v>0</v>
      </c>
      <c r="R28" s="63">
        <f t="shared" si="0"/>
        <v>0</v>
      </c>
      <c r="S28" s="16"/>
    </row>
    <row r="29" spans="1:19" ht="15">
      <c r="A29" s="4"/>
      <c r="B29" s="5"/>
      <c r="C29" s="6"/>
      <c r="D29" s="6"/>
      <c r="E29" s="56">
        <f t="shared" si="1"/>
        <v>0</v>
      </c>
      <c r="F29" s="5"/>
      <c r="G29" s="6"/>
      <c r="H29" s="6"/>
      <c r="I29" s="6"/>
      <c r="J29" s="56">
        <f t="shared" si="2"/>
        <v>0</v>
      </c>
      <c r="K29" s="5"/>
      <c r="L29" s="6"/>
      <c r="M29" s="6"/>
      <c r="N29" s="6"/>
      <c r="O29" s="11"/>
      <c r="P29" s="61">
        <f t="shared" si="3"/>
        <v>0</v>
      </c>
      <c r="Q29" s="62">
        <f t="shared" si="4"/>
        <v>0</v>
      </c>
      <c r="R29" s="63">
        <f t="shared" si="0"/>
        <v>0</v>
      </c>
      <c r="S29" s="16"/>
    </row>
    <row r="30" spans="1:19" ht="15">
      <c r="A30" s="4"/>
      <c r="B30" s="5"/>
      <c r="C30" s="6"/>
      <c r="D30" s="6"/>
      <c r="E30" s="56">
        <f t="shared" si="1"/>
        <v>0</v>
      </c>
      <c r="F30" s="5"/>
      <c r="G30" s="6"/>
      <c r="H30" s="6"/>
      <c r="I30" s="6"/>
      <c r="J30" s="56">
        <f t="shared" si="2"/>
        <v>0</v>
      </c>
      <c r="K30" s="5"/>
      <c r="L30" s="6"/>
      <c r="M30" s="6"/>
      <c r="N30" s="6"/>
      <c r="O30" s="11"/>
      <c r="P30" s="61">
        <f t="shared" si="3"/>
        <v>0</v>
      </c>
      <c r="Q30" s="62">
        <f t="shared" si="4"/>
        <v>0</v>
      </c>
      <c r="R30" s="63">
        <f t="shared" si="0"/>
        <v>0</v>
      </c>
      <c r="S30" s="16"/>
    </row>
    <row r="31" spans="1:19" ht="15">
      <c r="A31" s="4"/>
      <c r="B31" s="5"/>
      <c r="C31" s="6"/>
      <c r="D31" s="6"/>
      <c r="E31" s="56">
        <f t="shared" si="1"/>
        <v>0</v>
      </c>
      <c r="F31" s="5"/>
      <c r="G31" s="6"/>
      <c r="H31" s="6"/>
      <c r="I31" s="6"/>
      <c r="J31" s="56">
        <f t="shared" si="2"/>
        <v>0</v>
      </c>
      <c r="K31" s="5"/>
      <c r="L31" s="6"/>
      <c r="M31" s="6"/>
      <c r="N31" s="6"/>
      <c r="O31" s="11"/>
      <c r="P31" s="61">
        <f t="shared" si="3"/>
        <v>0</v>
      </c>
      <c r="Q31" s="62">
        <f t="shared" si="4"/>
        <v>0</v>
      </c>
      <c r="R31" s="63">
        <f t="shared" si="0"/>
        <v>0</v>
      </c>
      <c r="S31" s="16"/>
    </row>
    <row r="32" spans="1:19" ht="15">
      <c r="A32" s="4"/>
      <c r="B32" s="5"/>
      <c r="C32" s="6"/>
      <c r="D32" s="6"/>
      <c r="E32" s="56">
        <f t="shared" si="1"/>
        <v>0</v>
      </c>
      <c r="F32" s="5"/>
      <c r="G32" s="6"/>
      <c r="H32" s="6"/>
      <c r="I32" s="6"/>
      <c r="J32" s="56">
        <f t="shared" si="2"/>
        <v>0</v>
      </c>
      <c r="K32" s="5"/>
      <c r="L32" s="6"/>
      <c r="M32" s="6"/>
      <c r="N32" s="6"/>
      <c r="O32" s="11"/>
      <c r="P32" s="61">
        <f t="shared" si="3"/>
        <v>0</v>
      </c>
      <c r="Q32" s="62">
        <f t="shared" si="4"/>
        <v>0</v>
      </c>
      <c r="R32" s="63">
        <f t="shared" si="0"/>
        <v>0</v>
      </c>
      <c r="S32" s="16"/>
    </row>
    <row r="33" spans="1:19" ht="15">
      <c r="A33" s="4"/>
      <c r="B33" s="5"/>
      <c r="C33" s="6"/>
      <c r="D33" s="6"/>
      <c r="E33" s="56">
        <f t="shared" si="1"/>
        <v>0</v>
      </c>
      <c r="F33" s="5"/>
      <c r="G33" s="6"/>
      <c r="H33" s="6"/>
      <c r="I33" s="6"/>
      <c r="J33" s="56">
        <f t="shared" si="2"/>
        <v>0</v>
      </c>
      <c r="K33" s="5"/>
      <c r="L33" s="6"/>
      <c r="M33" s="6"/>
      <c r="N33" s="6"/>
      <c r="O33" s="11"/>
      <c r="P33" s="61">
        <f t="shared" si="3"/>
        <v>0</v>
      </c>
      <c r="Q33" s="62">
        <f t="shared" si="4"/>
        <v>0</v>
      </c>
      <c r="R33" s="63">
        <f t="shared" si="0"/>
        <v>0</v>
      </c>
      <c r="S33" s="16"/>
    </row>
    <row r="34" spans="1:19" ht="15">
      <c r="A34" s="4"/>
      <c r="B34" s="5"/>
      <c r="C34" s="6"/>
      <c r="D34" s="6"/>
      <c r="E34" s="56">
        <f t="shared" si="1"/>
        <v>0</v>
      </c>
      <c r="F34" s="5"/>
      <c r="G34" s="6"/>
      <c r="H34" s="6"/>
      <c r="I34" s="6"/>
      <c r="J34" s="56">
        <f t="shared" si="2"/>
        <v>0</v>
      </c>
      <c r="K34" s="5"/>
      <c r="L34" s="6"/>
      <c r="M34" s="6"/>
      <c r="N34" s="6"/>
      <c r="O34" s="11"/>
      <c r="P34" s="61">
        <f t="shared" si="3"/>
        <v>0</v>
      </c>
      <c r="Q34" s="62">
        <f t="shared" si="4"/>
        <v>0</v>
      </c>
      <c r="R34" s="63">
        <f t="shared" si="0"/>
        <v>0</v>
      </c>
      <c r="S34" s="16"/>
    </row>
    <row r="35" spans="1:19" ht="15">
      <c r="A35" s="4"/>
      <c r="B35" s="5"/>
      <c r="C35" s="6"/>
      <c r="D35" s="6"/>
      <c r="E35" s="56">
        <f t="shared" si="1"/>
        <v>0</v>
      </c>
      <c r="F35" s="5"/>
      <c r="G35" s="6"/>
      <c r="H35" s="6"/>
      <c r="I35" s="6"/>
      <c r="J35" s="56">
        <f t="shared" si="2"/>
        <v>0</v>
      </c>
      <c r="K35" s="5"/>
      <c r="L35" s="6"/>
      <c r="M35" s="6"/>
      <c r="N35" s="6"/>
      <c r="O35" s="11"/>
      <c r="P35" s="61">
        <f t="shared" si="3"/>
        <v>0</v>
      </c>
      <c r="Q35" s="62">
        <f t="shared" si="4"/>
        <v>0</v>
      </c>
      <c r="R35" s="63">
        <f t="shared" si="0"/>
        <v>0</v>
      </c>
      <c r="S35" s="16"/>
    </row>
    <row r="36" spans="1:19" ht="15">
      <c r="A36" s="4"/>
      <c r="B36" s="5"/>
      <c r="C36" s="6"/>
      <c r="D36" s="6"/>
      <c r="E36" s="56">
        <f t="shared" si="1"/>
        <v>0</v>
      </c>
      <c r="F36" s="5"/>
      <c r="G36" s="6"/>
      <c r="H36" s="6"/>
      <c r="I36" s="6"/>
      <c r="J36" s="56">
        <f t="shared" si="2"/>
        <v>0</v>
      </c>
      <c r="K36" s="5"/>
      <c r="L36" s="6"/>
      <c r="M36" s="6"/>
      <c r="N36" s="6"/>
      <c r="O36" s="11"/>
      <c r="P36" s="61">
        <f t="shared" si="3"/>
        <v>0</v>
      </c>
      <c r="Q36" s="62">
        <f t="shared" si="4"/>
        <v>0</v>
      </c>
      <c r="R36" s="63">
        <f t="shared" si="0"/>
        <v>0</v>
      </c>
      <c r="S36" s="16"/>
    </row>
    <row r="37" spans="1:19" ht="15">
      <c r="A37" s="4"/>
      <c r="B37" s="5"/>
      <c r="C37" s="6"/>
      <c r="D37" s="6"/>
      <c r="E37" s="56">
        <f t="shared" si="1"/>
        <v>0</v>
      </c>
      <c r="F37" s="5"/>
      <c r="G37" s="6"/>
      <c r="H37" s="6"/>
      <c r="I37" s="6"/>
      <c r="J37" s="56">
        <f t="shared" si="2"/>
        <v>0</v>
      </c>
      <c r="K37" s="5"/>
      <c r="L37" s="6"/>
      <c r="M37" s="6"/>
      <c r="N37" s="6"/>
      <c r="O37" s="11"/>
      <c r="P37" s="61">
        <f t="shared" si="3"/>
        <v>0</v>
      </c>
      <c r="Q37" s="62">
        <f t="shared" si="4"/>
        <v>0</v>
      </c>
      <c r="R37" s="63">
        <f t="shared" si="0"/>
        <v>0</v>
      </c>
      <c r="S37" s="16"/>
    </row>
    <row r="38" spans="1:19" ht="15">
      <c r="A38" s="4"/>
      <c r="B38" s="5"/>
      <c r="C38" s="6"/>
      <c r="D38" s="6"/>
      <c r="E38" s="56">
        <f t="shared" si="1"/>
        <v>0</v>
      </c>
      <c r="F38" s="5"/>
      <c r="G38" s="6"/>
      <c r="H38" s="6"/>
      <c r="I38" s="6"/>
      <c r="J38" s="56">
        <f t="shared" si="2"/>
        <v>0</v>
      </c>
      <c r="K38" s="5"/>
      <c r="L38" s="6"/>
      <c r="M38" s="6"/>
      <c r="N38" s="6"/>
      <c r="O38" s="11"/>
      <c r="P38" s="61">
        <f t="shared" si="3"/>
        <v>0</v>
      </c>
      <c r="Q38" s="62">
        <f t="shared" si="4"/>
        <v>0</v>
      </c>
      <c r="R38" s="63">
        <f t="shared" si="0"/>
        <v>0</v>
      </c>
      <c r="S38" s="16"/>
    </row>
    <row r="39" spans="1:19" ht="15">
      <c r="A39" s="4"/>
      <c r="B39" s="5"/>
      <c r="C39" s="6"/>
      <c r="D39" s="6"/>
      <c r="E39" s="56">
        <f t="shared" si="1"/>
        <v>0</v>
      </c>
      <c r="F39" s="5"/>
      <c r="G39" s="6"/>
      <c r="H39" s="6"/>
      <c r="I39" s="6"/>
      <c r="J39" s="56">
        <f t="shared" si="2"/>
        <v>0</v>
      </c>
      <c r="K39" s="5"/>
      <c r="L39" s="6"/>
      <c r="M39" s="6"/>
      <c r="N39" s="6"/>
      <c r="O39" s="11"/>
      <c r="P39" s="61">
        <f t="shared" si="3"/>
        <v>0</v>
      </c>
      <c r="Q39" s="62">
        <f t="shared" si="4"/>
        <v>0</v>
      </c>
      <c r="R39" s="63">
        <f t="shared" si="0"/>
        <v>0</v>
      </c>
      <c r="S39" s="16"/>
    </row>
    <row r="40" spans="1:19" ht="15">
      <c r="A40" s="4"/>
      <c r="B40" s="5"/>
      <c r="C40" s="6"/>
      <c r="D40" s="6"/>
      <c r="E40" s="56">
        <f t="shared" si="1"/>
        <v>0</v>
      </c>
      <c r="F40" s="5"/>
      <c r="G40" s="6"/>
      <c r="H40" s="6"/>
      <c r="I40" s="6"/>
      <c r="J40" s="56">
        <f t="shared" si="2"/>
        <v>0</v>
      </c>
      <c r="K40" s="5"/>
      <c r="L40" s="6"/>
      <c r="M40" s="6"/>
      <c r="N40" s="6"/>
      <c r="O40" s="11"/>
      <c r="P40" s="61">
        <f t="shared" si="3"/>
        <v>0</v>
      </c>
      <c r="Q40" s="62">
        <f t="shared" si="4"/>
        <v>0</v>
      </c>
      <c r="R40" s="63">
        <f t="shared" si="0"/>
        <v>0</v>
      </c>
      <c r="S40" s="16"/>
    </row>
    <row r="41" spans="1:19" ht="15">
      <c r="A41" s="4"/>
      <c r="B41" s="5"/>
      <c r="C41" s="6"/>
      <c r="D41" s="6"/>
      <c r="E41" s="56">
        <f t="shared" si="1"/>
        <v>0</v>
      </c>
      <c r="F41" s="5"/>
      <c r="G41" s="6"/>
      <c r="H41" s="6"/>
      <c r="I41" s="6"/>
      <c r="J41" s="56">
        <f t="shared" si="2"/>
        <v>0</v>
      </c>
      <c r="K41" s="5"/>
      <c r="L41" s="6"/>
      <c r="M41" s="6"/>
      <c r="N41" s="6"/>
      <c r="O41" s="11"/>
      <c r="P41" s="61">
        <f t="shared" si="3"/>
        <v>0</v>
      </c>
      <c r="Q41" s="62">
        <f t="shared" si="4"/>
        <v>0</v>
      </c>
      <c r="R41" s="63">
        <f t="shared" si="0"/>
        <v>0</v>
      </c>
      <c r="S41" s="16"/>
    </row>
    <row r="42" spans="1:19" ht="15">
      <c r="A42" s="4"/>
      <c r="B42" s="5"/>
      <c r="C42" s="6"/>
      <c r="D42" s="6"/>
      <c r="E42" s="56">
        <f t="shared" si="1"/>
        <v>0</v>
      </c>
      <c r="F42" s="5"/>
      <c r="G42" s="6"/>
      <c r="H42" s="6"/>
      <c r="I42" s="6"/>
      <c r="J42" s="56">
        <f t="shared" si="2"/>
        <v>0</v>
      </c>
      <c r="K42" s="5"/>
      <c r="L42" s="6"/>
      <c r="M42" s="6"/>
      <c r="N42" s="6"/>
      <c r="O42" s="11"/>
      <c r="P42" s="61">
        <f t="shared" si="3"/>
        <v>0</v>
      </c>
      <c r="Q42" s="62">
        <f t="shared" si="4"/>
        <v>0</v>
      </c>
      <c r="R42" s="63">
        <f t="shared" si="0"/>
        <v>0</v>
      </c>
      <c r="S42" s="16"/>
    </row>
    <row r="43" spans="1:19" ht="15">
      <c r="A43" s="4"/>
      <c r="B43" s="5"/>
      <c r="C43" s="6"/>
      <c r="D43" s="6"/>
      <c r="E43" s="56">
        <f t="shared" si="1"/>
        <v>0</v>
      </c>
      <c r="F43" s="5"/>
      <c r="G43" s="6"/>
      <c r="H43" s="6"/>
      <c r="I43" s="6"/>
      <c r="J43" s="56">
        <f t="shared" si="2"/>
        <v>0</v>
      </c>
      <c r="K43" s="5"/>
      <c r="L43" s="6"/>
      <c r="M43" s="6"/>
      <c r="N43" s="6"/>
      <c r="O43" s="11"/>
      <c r="P43" s="61">
        <f t="shared" si="3"/>
        <v>0</v>
      </c>
      <c r="Q43" s="62">
        <f t="shared" si="4"/>
        <v>0</v>
      </c>
      <c r="R43" s="63">
        <f t="shared" si="0"/>
        <v>0</v>
      </c>
      <c r="S43" s="16"/>
    </row>
    <row r="44" spans="1:19" ht="15">
      <c r="A44" s="4"/>
      <c r="B44" s="5"/>
      <c r="C44" s="6"/>
      <c r="D44" s="6"/>
      <c r="E44" s="56">
        <f t="shared" si="1"/>
        <v>0</v>
      </c>
      <c r="F44" s="5"/>
      <c r="G44" s="6"/>
      <c r="H44" s="6"/>
      <c r="I44" s="6"/>
      <c r="J44" s="56">
        <f t="shared" si="2"/>
        <v>0</v>
      </c>
      <c r="K44" s="5"/>
      <c r="L44" s="6"/>
      <c r="M44" s="6"/>
      <c r="N44" s="6"/>
      <c r="O44" s="11"/>
      <c r="P44" s="61">
        <f t="shared" si="3"/>
        <v>0</v>
      </c>
      <c r="Q44" s="62">
        <f t="shared" si="4"/>
        <v>0</v>
      </c>
      <c r="R44" s="63">
        <f t="shared" si="0"/>
        <v>0</v>
      </c>
      <c r="S44" s="16"/>
    </row>
    <row r="45" spans="1:19" ht="15">
      <c r="A45" s="4"/>
      <c r="B45" s="5"/>
      <c r="C45" s="6"/>
      <c r="D45" s="6"/>
      <c r="E45" s="56">
        <f t="shared" si="1"/>
        <v>0</v>
      </c>
      <c r="F45" s="5"/>
      <c r="G45" s="6"/>
      <c r="H45" s="6"/>
      <c r="I45" s="6"/>
      <c r="J45" s="56">
        <f t="shared" si="2"/>
        <v>0</v>
      </c>
      <c r="K45" s="5"/>
      <c r="L45" s="6"/>
      <c r="M45" s="6"/>
      <c r="N45" s="6"/>
      <c r="O45" s="11"/>
      <c r="P45" s="61">
        <f t="shared" si="3"/>
        <v>0</v>
      </c>
      <c r="Q45" s="62">
        <f t="shared" si="4"/>
        <v>0</v>
      </c>
      <c r="R45" s="63">
        <f t="shared" si="0"/>
        <v>0</v>
      </c>
      <c r="S45" s="16"/>
    </row>
    <row r="46" spans="1:19" ht="15">
      <c r="A46" s="4"/>
      <c r="B46" s="5"/>
      <c r="C46" s="6"/>
      <c r="D46" s="6"/>
      <c r="E46" s="56">
        <f t="shared" si="1"/>
        <v>0</v>
      </c>
      <c r="F46" s="5"/>
      <c r="G46" s="6"/>
      <c r="H46" s="6"/>
      <c r="I46" s="6"/>
      <c r="J46" s="56">
        <f t="shared" si="2"/>
        <v>0</v>
      </c>
      <c r="K46" s="5"/>
      <c r="L46" s="6"/>
      <c r="M46" s="6"/>
      <c r="N46" s="6"/>
      <c r="O46" s="11"/>
      <c r="P46" s="61">
        <f t="shared" si="3"/>
        <v>0</v>
      </c>
      <c r="Q46" s="62">
        <f t="shared" si="4"/>
        <v>0</v>
      </c>
      <c r="R46" s="63">
        <f t="shared" si="0"/>
        <v>0</v>
      </c>
      <c r="S46" s="16"/>
    </row>
    <row r="47" spans="1:19" ht="15">
      <c r="A47" s="4"/>
      <c r="B47" s="5"/>
      <c r="C47" s="6"/>
      <c r="D47" s="6"/>
      <c r="E47" s="56">
        <f t="shared" si="1"/>
        <v>0</v>
      </c>
      <c r="F47" s="5"/>
      <c r="G47" s="6"/>
      <c r="H47" s="6"/>
      <c r="I47" s="6"/>
      <c r="J47" s="56">
        <f t="shared" si="2"/>
        <v>0</v>
      </c>
      <c r="K47" s="5"/>
      <c r="L47" s="6"/>
      <c r="M47" s="6"/>
      <c r="N47" s="6"/>
      <c r="O47" s="11"/>
      <c r="P47" s="61">
        <f t="shared" si="3"/>
        <v>0</v>
      </c>
      <c r="Q47" s="62">
        <f t="shared" si="4"/>
        <v>0</v>
      </c>
      <c r="R47" s="63">
        <f t="shared" si="0"/>
        <v>0</v>
      </c>
      <c r="S47" s="16"/>
    </row>
    <row r="48" spans="1:19" ht="15">
      <c r="A48" s="4"/>
      <c r="B48" s="5"/>
      <c r="C48" s="6"/>
      <c r="D48" s="6"/>
      <c r="E48" s="56">
        <f t="shared" si="1"/>
        <v>0</v>
      </c>
      <c r="F48" s="5"/>
      <c r="G48" s="6"/>
      <c r="H48" s="6"/>
      <c r="I48" s="6"/>
      <c r="J48" s="56">
        <f t="shared" si="2"/>
        <v>0</v>
      </c>
      <c r="K48" s="5"/>
      <c r="L48" s="6"/>
      <c r="M48" s="6"/>
      <c r="N48" s="6"/>
      <c r="O48" s="11"/>
      <c r="P48" s="61">
        <f t="shared" si="3"/>
        <v>0</v>
      </c>
      <c r="Q48" s="62">
        <f t="shared" si="4"/>
        <v>0</v>
      </c>
      <c r="R48" s="63">
        <f t="shared" si="0"/>
        <v>0</v>
      </c>
      <c r="S48" s="16"/>
    </row>
    <row r="49" spans="1:19" ht="15">
      <c r="A49" s="4"/>
      <c r="B49" s="5"/>
      <c r="C49" s="6"/>
      <c r="D49" s="6"/>
      <c r="E49" s="56">
        <f t="shared" si="1"/>
        <v>0</v>
      </c>
      <c r="F49" s="5"/>
      <c r="G49" s="6"/>
      <c r="H49" s="6"/>
      <c r="I49" s="6"/>
      <c r="J49" s="56">
        <f t="shared" si="2"/>
        <v>0</v>
      </c>
      <c r="K49" s="5"/>
      <c r="L49" s="6"/>
      <c r="M49" s="6"/>
      <c r="N49" s="6"/>
      <c r="O49" s="11"/>
      <c r="P49" s="61">
        <f t="shared" si="3"/>
        <v>0</v>
      </c>
      <c r="Q49" s="62">
        <f t="shared" si="4"/>
        <v>0</v>
      </c>
      <c r="R49" s="63">
        <f t="shared" si="0"/>
        <v>0</v>
      </c>
      <c r="S49" s="16"/>
    </row>
    <row r="50" spans="1:19" ht="15.75" thickBot="1">
      <c r="A50" s="7"/>
      <c r="B50" s="8"/>
      <c r="C50" s="9"/>
      <c r="D50" s="9"/>
      <c r="E50" s="57">
        <f t="shared" si="1"/>
        <v>0</v>
      </c>
      <c r="F50" s="8"/>
      <c r="G50" s="9"/>
      <c r="H50" s="9"/>
      <c r="I50" s="9"/>
      <c r="J50" s="57">
        <f t="shared" si="2"/>
        <v>0</v>
      </c>
      <c r="K50" s="8"/>
      <c r="L50" s="9"/>
      <c r="M50" s="9"/>
      <c r="N50" s="9"/>
      <c r="O50" s="12"/>
      <c r="P50" s="64">
        <f t="shared" si="3"/>
        <v>0</v>
      </c>
      <c r="Q50" s="65">
        <f t="shared" si="4"/>
        <v>0</v>
      </c>
      <c r="R50" s="66">
        <f t="shared" si="0"/>
        <v>0</v>
      </c>
      <c r="S50" s="16"/>
    </row>
    <row r="51" spans="1:19" ht="15" thickBot="1">
      <c r="A51" s="28" t="s">
        <v>17</v>
      </c>
      <c r="B51" s="67">
        <f>SUM(B20:B50)</f>
        <v>1</v>
      </c>
      <c r="C51" s="67">
        <f t="shared" ref="C51:R51" si="5">SUM(C20:C50)</f>
        <v>2</v>
      </c>
      <c r="D51" s="67">
        <f t="shared" si="5"/>
        <v>3</v>
      </c>
      <c r="E51" s="67">
        <f t="shared" si="5"/>
        <v>6</v>
      </c>
      <c r="F51" s="67">
        <f t="shared" si="5"/>
        <v>4</v>
      </c>
      <c r="G51" s="67">
        <f t="shared" si="5"/>
        <v>5</v>
      </c>
      <c r="H51" s="67">
        <f t="shared" si="5"/>
        <v>6</v>
      </c>
      <c r="I51" s="67">
        <f t="shared" si="5"/>
        <v>7</v>
      </c>
      <c r="J51" s="67">
        <f t="shared" si="5"/>
        <v>22</v>
      </c>
      <c r="K51" s="67">
        <f t="shared" si="5"/>
        <v>8</v>
      </c>
      <c r="L51" s="67">
        <f t="shared" si="5"/>
        <v>9</v>
      </c>
      <c r="M51" s="67">
        <f t="shared" si="5"/>
        <v>0</v>
      </c>
      <c r="N51" s="67">
        <f t="shared" si="5"/>
        <v>1</v>
      </c>
      <c r="O51" s="67">
        <f t="shared" si="5"/>
        <v>2</v>
      </c>
      <c r="P51" s="67">
        <f t="shared" si="5"/>
        <v>20</v>
      </c>
      <c r="Q51" s="67">
        <f t="shared" si="5"/>
        <v>42</v>
      </c>
      <c r="R51" s="67">
        <f t="shared" si="5"/>
        <v>76</v>
      </c>
      <c r="S51" s="16"/>
    </row>
    <row r="52" spans="1:19">
      <c r="A52" s="14"/>
      <c r="S52" s="16"/>
    </row>
    <row r="53" spans="1:19">
      <c r="A53" s="14"/>
      <c r="S53" s="16"/>
    </row>
    <row r="54" spans="1:19" ht="15">
      <c r="A54" s="131" t="s">
        <v>34</v>
      </c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29"/>
      <c r="Q54" s="29"/>
      <c r="S54" s="16"/>
    </row>
    <row r="55" spans="1:19" ht="15">
      <c r="A55" s="131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29"/>
      <c r="Q55" s="29"/>
      <c r="S55" s="16"/>
    </row>
    <row r="56" spans="1:19" ht="15.75" thickBot="1">
      <c r="A56" s="131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29"/>
      <c r="Q56" s="29"/>
      <c r="S56" s="16"/>
    </row>
    <row r="57" spans="1:19" ht="15.75" thickBot="1">
      <c r="A57" s="14"/>
      <c r="B57" s="18">
        <v>27</v>
      </c>
      <c r="C57" s="19">
        <v>29</v>
      </c>
      <c r="D57" s="19">
        <v>29</v>
      </c>
      <c r="E57" s="21">
        <v>30</v>
      </c>
      <c r="F57" s="20">
        <v>31</v>
      </c>
      <c r="G57" s="30">
        <v>32</v>
      </c>
      <c r="J57" s="133">
        <v>33</v>
      </c>
      <c r="K57" s="134"/>
      <c r="L57" s="134"/>
      <c r="M57" s="134"/>
      <c r="N57" s="134"/>
      <c r="O57" s="135"/>
      <c r="P57" s="29"/>
      <c r="Q57" s="29"/>
      <c r="S57" s="16"/>
    </row>
    <row r="58" spans="1:19" ht="15.75" thickBot="1">
      <c r="A58" s="31" t="s">
        <v>35</v>
      </c>
      <c r="B58" s="136" t="s">
        <v>36</v>
      </c>
      <c r="C58" s="137"/>
      <c r="D58" s="137"/>
      <c r="E58" s="137"/>
      <c r="F58" s="137"/>
      <c r="G58" s="138" t="s">
        <v>17</v>
      </c>
      <c r="H58" s="32"/>
      <c r="I58" s="140" t="s">
        <v>37</v>
      </c>
      <c r="J58" s="33"/>
      <c r="K58" s="142" t="s">
        <v>38</v>
      </c>
      <c r="L58" s="143"/>
      <c r="M58" s="143"/>
      <c r="N58" s="144"/>
      <c r="O58" s="145" t="s">
        <v>39</v>
      </c>
      <c r="P58" s="29"/>
      <c r="Q58" s="29"/>
      <c r="R58" s="32"/>
      <c r="S58" s="16"/>
    </row>
    <row r="59" spans="1:19" ht="82.5" customHeight="1">
      <c r="A59" s="34"/>
      <c r="B59" s="35" t="s">
        <v>40</v>
      </c>
      <c r="C59" s="36" t="s">
        <v>41</v>
      </c>
      <c r="D59" s="37" t="s">
        <v>42</v>
      </c>
      <c r="E59" s="38" t="s">
        <v>43</v>
      </c>
      <c r="F59" s="38" t="s">
        <v>44</v>
      </c>
      <c r="G59" s="139"/>
      <c r="H59" s="32"/>
      <c r="I59" s="141"/>
      <c r="J59" s="39" t="s">
        <v>45</v>
      </c>
      <c r="K59" s="40" t="s">
        <v>46</v>
      </c>
      <c r="L59" s="41" t="s">
        <v>47</v>
      </c>
      <c r="M59" s="41" t="s">
        <v>48</v>
      </c>
      <c r="N59" s="42" t="s">
        <v>49</v>
      </c>
      <c r="O59" s="146"/>
      <c r="P59" s="29"/>
      <c r="Q59" s="29"/>
      <c r="R59" s="32"/>
      <c r="S59" s="16"/>
    </row>
    <row r="60" spans="1:19" ht="15">
      <c r="A60" s="4" t="s">
        <v>50</v>
      </c>
      <c r="B60" s="102">
        <f>+ENERO!$B$60</f>
        <v>0</v>
      </c>
      <c r="C60" s="103">
        <f>+ENERO!$C$60</f>
        <v>0</v>
      </c>
      <c r="D60" s="103">
        <f>+ENERO!$D$60</f>
        <v>0</v>
      </c>
      <c r="E60" s="103">
        <f>+ENERO!$E$60</f>
        <v>0</v>
      </c>
      <c r="F60" s="105">
        <f>+ENERO!$F$60</f>
        <v>0</v>
      </c>
      <c r="G60" s="84">
        <f>SUM(B60:F60)</f>
        <v>0</v>
      </c>
      <c r="H60" s="32"/>
      <c r="I60" s="4" t="s">
        <v>50</v>
      </c>
      <c r="J60" s="113">
        <f>(B60/ENERO!$R$51)*100</f>
        <v>0</v>
      </c>
      <c r="K60" s="87">
        <f>(C60/ENERO!$R$51)*100</f>
        <v>0</v>
      </c>
      <c r="L60" s="88">
        <f>(D60/ENERO!$R$51)*100</f>
        <v>0</v>
      </c>
      <c r="M60" s="88">
        <f>(E60/ENERO!$R$51)*100</f>
        <v>0</v>
      </c>
      <c r="N60" s="89">
        <f>(F60/ENERO!$R$51)*100</f>
        <v>0</v>
      </c>
      <c r="O60" s="90">
        <f>SUM(J60:N60)/100</f>
        <v>0</v>
      </c>
      <c r="P60" s="29"/>
      <c r="Q60" s="29"/>
      <c r="R60" s="32"/>
      <c r="S60" s="16"/>
    </row>
    <row r="61" spans="1:19" ht="15">
      <c r="A61" s="4" t="s">
        <v>55</v>
      </c>
      <c r="B61" s="102">
        <f>+FEBRERO!$B$61</f>
        <v>0</v>
      </c>
      <c r="C61" s="103">
        <f>+FEBRERO!$C$61</f>
        <v>0</v>
      </c>
      <c r="D61" s="103">
        <f>+FEBRERO!$D$61</f>
        <v>0</v>
      </c>
      <c r="E61" s="103">
        <f>+FEBRERO!$E$61</f>
        <v>0</v>
      </c>
      <c r="F61" s="103">
        <f>+FEBRERO!$F$61</f>
        <v>0</v>
      </c>
      <c r="G61" s="84">
        <f t="shared" ref="G61:G71" si="6">SUM(B61:F61)</f>
        <v>0</v>
      </c>
      <c r="H61" s="32"/>
      <c r="I61" s="4" t="s">
        <v>55</v>
      </c>
      <c r="J61" s="113">
        <f>(B61/FEBRERO!$R$51)*100</f>
        <v>0</v>
      </c>
      <c r="K61" s="87">
        <f>(C61/FEBRERO!$R$51)*100</f>
        <v>0</v>
      </c>
      <c r="L61" s="88">
        <f>(D61/FEBRERO!$R$51)*100</f>
        <v>0</v>
      </c>
      <c r="M61" s="88">
        <f>(E61/FEBRERO!$R$51)*100</f>
        <v>0</v>
      </c>
      <c r="N61" s="89">
        <f>(F61/FEBRERO!$R$51)*100</f>
        <v>0</v>
      </c>
      <c r="O61" s="90">
        <f t="shared" ref="O61:O71" si="7">SUM(J61:N61)/100</f>
        <v>0</v>
      </c>
      <c r="P61" s="29"/>
      <c r="Q61" s="29"/>
      <c r="R61" s="32"/>
      <c r="S61" s="16"/>
    </row>
    <row r="62" spans="1:19" ht="15">
      <c r="A62" s="4" t="s">
        <v>56</v>
      </c>
      <c r="B62" s="104">
        <f>+MARZO!$B$62</f>
        <v>0</v>
      </c>
      <c r="C62" s="103">
        <f>+MARZO!$C$62</f>
        <v>0</v>
      </c>
      <c r="D62" s="103">
        <f>+MARZO!$D$62</f>
        <v>0</v>
      </c>
      <c r="E62" s="103">
        <f>+MARZO!$E$62</f>
        <v>0</v>
      </c>
      <c r="F62" s="105">
        <f>+MARZO!$F$62</f>
        <v>0</v>
      </c>
      <c r="G62" s="84">
        <f t="shared" si="6"/>
        <v>0</v>
      </c>
      <c r="H62" s="32"/>
      <c r="I62" s="4" t="s">
        <v>56</v>
      </c>
      <c r="J62" s="113">
        <f>(B62/MARZO!$R$51)*100</f>
        <v>0</v>
      </c>
      <c r="K62" s="87">
        <f>(C62/MARZO!$R$51)*100</f>
        <v>0</v>
      </c>
      <c r="L62" s="88">
        <f>(D62/MARZO!$R$51)*100</f>
        <v>0</v>
      </c>
      <c r="M62" s="88">
        <f>(E62/MARZO!$R$51)*100</f>
        <v>0</v>
      </c>
      <c r="N62" s="89">
        <f>(F62/MARZO!$R$51)*100</f>
        <v>0</v>
      </c>
      <c r="O62" s="90">
        <f t="shared" si="7"/>
        <v>0</v>
      </c>
      <c r="P62" s="29"/>
      <c r="Q62" s="29"/>
      <c r="R62" s="32"/>
      <c r="S62" s="16"/>
    </row>
    <row r="63" spans="1:19" ht="15">
      <c r="A63" s="4" t="s">
        <v>57</v>
      </c>
      <c r="B63" s="104">
        <f>+ABRIL!$B$63</f>
        <v>0</v>
      </c>
      <c r="C63" s="103">
        <f>+ABRIL!$C$63</f>
        <v>0</v>
      </c>
      <c r="D63" s="103">
        <f>+ABRIL!$D$63</f>
        <v>0</v>
      </c>
      <c r="E63" s="103">
        <f>+ABRIL!$E$63</f>
        <v>0</v>
      </c>
      <c r="F63" s="105">
        <f>+ABRIL!$F$63</f>
        <v>0</v>
      </c>
      <c r="G63" s="84">
        <f t="shared" si="6"/>
        <v>0</v>
      </c>
      <c r="H63" s="32"/>
      <c r="I63" s="4" t="s">
        <v>57</v>
      </c>
      <c r="J63" s="113">
        <f>(B63/ABRIL!$R$51)*100</f>
        <v>0</v>
      </c>
      <c r="K63" s="87">
        <f>(C63/ABRIL!$R$51)*100</f>
        <v>0</v>
      </c>
      <c r="L63" s="88">
        <f>(D63/ABRIL!$R$51)*100</f>
        <v>0</v>
      </c>
      <c r="M63" s="88">
        <f>(E63/ABRIL!$R$51)*100</f>
        <v>0</v>
      </c>
      <c r="N63" s="89">
        <f>(F63/ABRIL!$R$51)*100</f>
        <v>0</v>
      </c>
      <c r="O63" s="90">
        <f t="shared" si="7"/>
        <v>0</v>
      </c>
      <c r="P63" s="29"/>
      <c r="Q63" s="29"/>
      <c r="R63" s="32"/>
      <c r="S63" s="16"/>
    </row>
    <row r="64" spans="1:19" ht="15">
      <c r="A64" s="4" t="s">
        <v>59</v>
      </c>
      <c r="B64" s="104">
        <f>+MAYO!$B$64</f>
        <v>0</v>
      </c>
      <c r="C64" s="103">
        <f>+MAYO!$C$64</f>
        <v>0</v>
      </c>
      <c r="D64" s="103">
        <f>+MAYO!$D$64</f>
        <v>0</v>
      </c>
      <c r="E64" s="103">
        <f>+MAYO!$E$64</f>
        <v>0</v>
      </c>
      <c r="F64" s="105">
        <f>+MAYO!$F$64</f>
        <v>0</v>
      </c>
      <c r="G64" s="84">
        <f t="shared" si="6"/>
        <v>0</v>
      </c>
      <c r="I64" s="4" t="s">
        <v>59</v>
      </c>
      <c r="J64" s="113">
        <f>(B64/MAYO!$R$51)*100</f>
        <v>0</v>
      </c>
      <c r="K64" s="87">
        <f>(C64/MAYO!$R$51)*100</f>
        <v>0</v>
      </c>
      <c r="L64" s="88">
        <f>(D64/MAYO!$R$51)*100</f>
        <v>0</v>
      </c>
      <c r="M64" s="88">
        <f>(E64/MAYO!$R$51)*100</f>
        <v>0</v>
      </c>
      <c r="N64" s="89">
        <f>(F64/MAYO!$R$51)*100</f>
        <v>0</v>
      </c>
      <c r="O64" s="90">
        <f t="shared" si="7"/>
        <v>0</v>
      </c>
      <c r="P64" s="29"/>
      <c r="Q64" s="29"/>
      <c r="S64" s="16"/>
    </row>
    <row r="65" spans="1:19" ht="15">
      <c r="A65" s="4" t="s">
        <v>60</v>
      </c>
      <c r="B65" s="104">
        <f>+JUNIO!$B$65</f>
        <v>0</v>
      </c>
      <c r="C65" s="103">
        <f>+JUNIO!$C$65</f>
        <v>0</v>
      </c>
      <c r="D65" s="103">
        <f>+JUNIO!$D$65</f>
        <v>0</v>
      </c>
      <c r="E65" s="103">
        <f>+JUNIO!$E$65</f>
        <v>0</v>
      </c>
      <c r="F65" s="105">
        <f>+JUNIO!$F$65</f>
        <v>0</v>
      </c>
      <c r="G65" s="84">
        <f t="shared" si="6"/>
        <v>0</v>
      </c>
      <c r="I65" s="4" t="s">
        <v>60</v>
      </c>
      <c r="J65" s="113">
        <f>(B65/JUNIO!$R$51)*100</f>
        <v>0</v>
      </c>
      <c r="K65" s="87">
        <f>(C65/JUNIO!$R$51)*100</f>
        <v>0</v>
      </c>
      <c r="L65" s="88">
        <f>(D65/JUNIO!$R$51)*100</f>
        <v>0</v>
      </c>
      <c r="M65" s="88">
        <f>(E65/JUNIO!$R$51)*100</f>
        <v>0</v>
      </c>
      <c r="N65" s="89">
        <f>(F65/JUNIO!$R$51)*100</f>
        <v>0</v>
      </c>
      <c r="O65" s="90">
        <f t="shared" si="7"/>
        <v>0</v>
      </c>
      <c r="P65" s="29"/>
      <c r="Q65" s="29"/>
      <c r="S65" s="16"/>
    </row>
    <row r="66" spans="1:19" ht="15">
      <c r="A66" s="4" t="s">
        <v>61</v>
      </c>
      <c r="B66" s="104">
        <f>+JULIO!$B$66</f>
        <v>0</v>
      </c>
      <c r="C66" s="103">
        <f>+JULIO!$C$66</f>
        <v>0</v>
      </c>
      <c r="D66" s="103">
        <f>+JULIO!$D$66</f>
        <v>0</v>
      </c>
      <c r="E66" s="103">
        <f>+JULIO!$E$66</f>
        <v>0</v>
      </c>
      <c r="F66" s="105">
        <f>+JULIO!$F$66</f>
        <v>0</v>
      </c>
      <c r="G66" s="84">
        <f t="shared" si="6"/>
        <v>0</v>
      </c>
      <c r="I66" s="4" t="s">
        <v>61</v>
      </c>
      <c r="J66" s="113">
        <f>(B66/JULIO!$R$51)*100</f>
        <v>0</v>
      </c>
      <c r="K66" s="87">
        <f>(C66/JULIO!$R$51)*100</f>
        <v>0</v>
      </c>
      <c r="L66" s="88">
        <f>(D66/JULIO!$R$51)*100</f>
        <v>0</v>
      </c>
      <c r="M66" s="88">
        <f>(E66/JULIO!$R$51)*100</f>
        <v>0</v>
      </c>
      <c r="N66" s="89">
        <f>(F66/JULIO!$R$51)*100</f>
        <v>0</v>
      </c>
      <c r="O66" s="90">
        <f t="shared" si="7"/>
        <v>0</v>
      </c>
      <c r="P66" s="29"/>
      <c r="Q66" s="29"/>
      <c r="S66" s="16"/>
    </row>
    <row r="67" spans="1:19" ht="15">
      <c r="A67" s="4" t="s">
        <v>62</v>
      </c>
      <c r="B67" s="104">
        <f>+AGOSTO!$B$67</f>
        <v>0</v>
      </c>
      <c r="C67" s="103">
        <f>+AGOSTO!$C$67</f>
        <v>0</v>
      </c>
      <c r="D67" s="103">
        <f>+AGOSTO!$D$67</f>
        <v>0</v>
      </c>
      <c r="E67" s="103">
        <f>+AGOSTO!$E$67</f>
        <v>0</v>
      </c>
      <c r="F67" s="105">
        <f>+AGOSTO!$F$67</f>
        <v>0</v>
      </c>
      <c r="G67" s="84">
        <f t="shared" si="6"/>
        <v>0</v>
      </c>
      <c r="I67" s="4" t="s">
        <v>62</v>
      </c>
      <c r="J67" s="113">
        <f>(B67/AGOSTO!$R$51)*100</f>
        <v>0</v>
      </c>
      <c r="K67" s="87">
        <f>(C67/AGOSTO!$R$51)*100</f>
        <v>0</v>
      </c>
      <c r="L67" s="88">
        <f>(D67/AGOSTO!$R$51)*100</f>
        <v>0</v>
      </c>
      <c r="M67" s="88">
        <f>(E67/AGOSTO!$R$51)*100</f>
        <v>0</v>
      </c>
      <c r="N67" s="89">
        <f>(F67/AGOSTO!$R$51)*100</f>
        <v>0</v>
      </c>
      <c r="O67" s="90">
        <f t="shared" si="7"/>
        <v>0</v>
      </c>
      <c r="P67" s="29"/>
      <c r="Q67" s="29"/>
      <c r="S67" s="16"/>
    </row>
    <row r="68" spans="1:19" ht="15">
      <c r="A68" s="4" t="s">
        <v>63</v>
      </c>
      <c r="B68" s="104">
        <f>+SEPTIEMBRE!$B$68</f>
        <v>0</v>
      </c>
      <c r="C68" s="103">
        <f>+SEPTIEMBRE!$C$68</f>
        <v>0</v>
      </c>
      <c r="D68" s="103">
        <f>+SEPTIEMBRE!$D$68</f>
        <v>0</v>
      </c>
      <c r="E68" s="103">
        <f>+SEPTIEMBRE!$E$68</f>
        <v>0</v>
      </c>
      <c r="F68" s="105">
        <f>+SEPTIEMBRE!$F$68</f>
        <v>0</v>
      </c>
      <c r="G68" s="84">
        <f t="shared" si="6"/>
        <v>0</v>
      </c>
      <c r="I68" s="4" t="s">
        <v>63</v>
      </c>
      <c r="J68" s="113">
        <f>(B68/SEPTIEMBRE!$R$51)*100</f>
        <v>0</v>
      </c>
      <c r="K68" s="87">
        <f>(C68/SEPTIEMBRE!$R$51)*100</f>
        <v>0</v>
      </c>
      <c r="L68" s="88">
        <f>(D68/SEPTIEMBRE!$R$51)*100</f>
        <v>0</v>
      </c>
      <c r="M68" s="88">
        <f>(E68/SEPTIEMBRE!$R$51)*100</f>
        <v>0</v>
      </c>
      <c r="N68" s="89">
        <f>(F68/SEPTIEMBRE!$R$51)*100</f>
        <v>0</v>
      </c>
      <c r="O68" s="90">
        <f t="shared" si="7"/>
        <v>0</v>
      </c>
      <c r="P68" s="29"/>
      <c r="Q68" s="29"/>
      <c r="S68" s="16"/>
    </row>
    <row r="69" spans="1:19" ht="15">
      <c r="A69" s="4" t="s">
        <v>64</v>
      </c>
      <c r="B69" s="104">
        <f>+OCTUBRE!$B$69</f>
        <v>0</v>
      </c>
      <c r="C69" s="103">
        <f>+OCTUBRE!$C$69</f>
        <v>0</v>
      </c>
      <c r="D69" s="103">
        <f>+OCTUBRE!$D$69</f>
        <v>0</v>
      </c>
      <c r="E69" s="103">
        <f>+OCTUBRE!$E$69</f>
        <v>0</v>
      </c>
      <c r="F69" s="105">
        <f>+OCTUBRE!$F$69</f>
        <v>0</v>
      </c>
      <c r="G69" s="84">
        <f t="shared" si="6"/>
        <v>0</v>
      </c>
      <c r="I69" s="4" t="s">
        <v>64</v>
      </c>
      <c r="J69" s="113">
        <f>(B69/OCTUBRE!$R$51)*100</f>
        <v>0</v>
      </c>
      <c r="K69" s="87">
        <f>(C69/OCTUBRE!$R$51)*100</f>
        <v>0</v>
      </c>
      <c r="L69" s="88">
        <f>(D69/OCTUBRE!$R$51)*100</f>
        <v>0</v>
      </c>
      <c r="M69" s="88">
        <f>(E69/OCTUBRE!$R$51)*100</f>
        <v>0</v>
      </c>
      <c r="N69" s="89">
        <f>(F69/OCTUBRE!$R$51)*100</f>
        <v>0</v>
      </c>
      <c r="O69" s="90">
        <f t="shared" si="7"/>
        <v>0</v>
      </c>
      <c r="P69" s="29"/>
      <c r="Q69" s="29"/>
      <c r="S69" s="16"/>
    </row>
    <row r="70" spans="1:19" ht="15">
      <c r="A70" s="4" t="s">
        <v>65</v>
      </c>
      <c r="B70" s="104">
        <f>+NOVIEMBRE!$B$70</f>
        <v>0</v>
      </c>
      <c r="C70" s="103">
        <f>+NOVIEMBRE!$C$70</f>
        <v>0</v>
      </c>
      <c r="D70" s="103">
        <f>+NOVIEMBRE!$D$70</f>
        <v>0</v>
      </c>
      <c r="E70" s="103">
        <f>+NOVIEMBRE!$E$70</f>
        <v>0</v>
      </c>
      <c r="F70" s="105">
        <f>+NOVIEMBRE!$F$70</f>
        <v>0</v>
      </c>
      <c r="G70" s="84">
        <f t="shared" si="6"/>
        <v>0</v>
      </c>
      <c r="I70" s="4" t="s">
        <v>65</v>
      </c>
      <c r="J70" s="113">
        <f>(B70/NOVIEMBRE!$R$51)*100</f>
        <v>0</v>
      </c>
      <c r="K70" s="87">
        <f>(C70/NOVIEMBRE!$R$51)*100</f>
        <v>0</v>
      </c>
      <c r="L70" s="88">
        <f>(D70/NOVIEMBRE!$R$51)*100</f>
        <v>0</v>
      </c>
      <c r="M70" s="88">
        <f>(E70/NOVIEMBRE!$R$51)*100</f>
        <v>0</v>
      </c>
      <c r="N70" s="89">
        <f>(F70/NOVIEMBRE!$R$51)*100</f>
        <v>0</v>
      </c>
      <c r="O70" s="90">
        <f t="shared" si="7"/>
        <v>0</v>
      </c>
      <c r="P70" s="29"/>
      <c r="Q70" s="29"/>
      <c r="S70" s="16"/>
    </row>
    <row r="71" spans="1:19" ht="15.75" thickBot="1">
      <c r="A71" s="46" t="s">
        <v>66</v>
      </c>
      <c r="B71" s="47"/>
      <c r="C71" s="48"/>
      <c r="D71" s="48"/>
      <c r="E71" s="49"/>
      <c r="F71" s="49"/>
      <c r="G71" s="84">
        <f t="shared" si="6"/>
        <v>0</v>
      </c>
      <c r="I71" s="46" t="s">
        <v>66</v>
      </c>
      <c r="J71" s="113">
        <f>(B71/$R$51)*100</f>
        <v>0</v>
      </c>
      <c r="K71" s="87">
        <f t="shared" ref="K71:N71" si="8">(C71/$R$51)*100</f>
        <v>0</v>
      </c>
      <c r="L71" s="88">
        <f t="shared" si="8"/>
        <v>0</v>
      </c>
      <c r="M71" s="88">
        <f t="shared" si="8"/>
        <v>0</v>
      </c>
      <c r="N71" s="89">
        <f t="shared" si="8"/>
        <v>0</v>
      </c>
      <c r="O71" s="90">
        <f t="shared" si="7"/>
        <v>0</v>
      </c>
      <c r="P71" s="29"/>
      <c r="Q71" s="29"/>
      <c r="S71" s="16"/>
    </row>
    <row r="72" spans="1:19">
      <c r="A72" s="14"/>
      <c r="S72" s="16"/>
    </row>
    <row r="73" spans="1:19">
      <c r="A73" s="14"/>
      <c r="S73" s="16"/>
    </row>
    <row r="74" spans="1:19" ht="15">
      <c r="A74" s="14"/>
      <c r="I74" s="50" t="s">
        <v>51</v>
      </c>
      <c r="J74" s="50"/>
      <c r="S74" s="16"/>
    </row>
    <row r="75" spans="1:19" ht="15">
      <c r="A75" s="14"/>
      <c r="I75" s="50" t="s">
        <v>52</v>
      </c>
      <c r="J75" s="50"/>
      <c r="S75" s="16"/>
    </row>
    <row r="76" spans="1:19" ht="15">
      <c r="A76" s="14"/>
      <c r="I76" s="50" t="s">
        <v>53</v>
      </c>
      <c r="J76" s="50"/>
      <c r="S76" s="16"/>
    </row>
    <row r="77" spans="1:19" ht="15.75" thickBot="1">
      <c r="A77" s="51"/>
      <c r="B77" s="52"/>
      <c r="C77" s="52"/>
      <c r="D77" s="52"/>
      <c r="E77" s="52"/>
      <c r="F77" s="52"/>
      <c r="G77" s="52"/>
      <c r="H77" s="52"/>
      <c r="I77" s="53" t="s">
        <v>54</v>
      </c>
      <c r="J77" s="53"/>
      <c r="K77" s="52"/>
      <c r="L77" s="52"/>
      <c r="M77" s="52"/>
      <c r="N77" s="52"/>
      <c r="O77" s="52"/>
      <c r="P77" s="52"/>
      <c r="Q77" s="52"/>
      <c r="R77" s="52"/>
      <c r="S77" s="54"/>
    </row>
  </sheetData>
  <sheetProtection algorithmName="SHA-512" hashValue="klR0fH/lxIVcvZbEFg82LhC2MyGUxEodgH7ZnyPzr5eoyPhD81sBWub8gb8sRjc+dPIqY3Whimhn7M01+Ot2DA==" saltValue="fbtrEREweNn9eaTQIR3M6w==" spinCount="100000" sheet="1" objects="1" scenarios="1"/>
  <mergeCells count="41">
    <mergeCell ref="A1:C6"/>
    <mergeCell ref="D1:P6"/>
    <mergeCell ref="Q1:S6"/>
    <mergeCell ref="A7:C7"/>
    <mergeCell ref="D7:J7"/>
    <mergeCell ref="K7:M7"/>
    <mergeCell ref="N7:S7"/>
    <mergeCell ref="A8:C8"/>
    <mergeCell ref="D8:J8"/>
    <mergeCell ref="K8:M8"/>
    <mergeCell ref="N8:S8"/>
    <mergeCell ref="A9:C9"/>
    <mergeCell ref="D9:J9"/>
    <mergeCell ref="K9:M9"/>
    <mergeCell ref="N9:S9"/>
    <mergeCell ref="A10:C10"/>
    <mergeCell ref="D10:J10"/>
    <mergeCell ref="K10:M10"/>
    <mergeCell ref="N10:S10"/>
    <mergeCell ref="A11:C11"/>
    <mergeCell ref="D11:J11"/>
    <mergeCell ref="K11:M11"/>
    <mergeCell ref="N11:S11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54:O56"/>
    <mergeCell ref="J57:O57"/>
    <mergeCell ref="B58:F58"/>
    <mergeCell ref="G58:G59"/>
    <mergeCell ref="I58:I59"/>
    <mergeCell ref="K58:N58"/>
    <mergeCell ref="O58:O59"/>
  </mergeCells>
  <conditionalFormatting sqref="G71">
    <cfRule type="cellIs" dxfId="25" priority="13" operator="notEqual">
      <formula>$R$51</formula>
    </cfRule>
  </conditionalFormatting>
  <conditionalFormatting sqref="O60:O71">
    <cfRule type="cellIs" dxfId="24" priority="12" operator="notEqual">
      <formula>100%</formula>
    </cfRule>
  </conditionalFormatting>
  <pageMargins left="0.7" right="0.7" top="0.75" bottom="0.75" header="0.3" footer="0.3"/>
  <pageSetup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FF2A9283-9D0B-48DB-950D-88D995220DDF}">
            <xm:f>ENERO!$R$51</xm:f>
            <x14:dxf>
              <fill>
                <patternFill>
                  <bgColor rgb="FFFF0000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cellIs" priority="2" operator="notEqual" id="{AC8BF98E-CC93-43AC-B76E-02CD6842E3F2}">
            <xm:f>FEBRERO!$R$51</xm:f>
            <x14:dxf>
              <fill>
                <patternFill>
                  <bgColor rgb="FFFF0000"/>
                </patternFill>
              </fill>
            </x14:dxf>
          </x14:cfRule>
          <xm:sqref>G61</xm:sqref>
        </x14:conditionalFormatting>
        <x14:conditionalFormatting xmlns:xm="http://schemas.microsoft.com/office/excel/2006/main">
          <x14:cfRule type="cellIs" priority="3" operator="notEqual" id="{CC1DF1C1-8608-4AE3-8DF6-0503754CC8FA}">
            <xm:f>MARZO!$R$51</xm:f>
            <x14:dxf>
              <fill>
                <patternFill>
                  <bgColor rgb="FFFF0000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cellIs" priority="4" operator="notEqual" id="{EEED9F99-4854-42D2-9805-E6132F58A0C9}">
            <xm:f>ABRIL!$R$51</xm:f>
            <x14:dxf>
              <fill>
                <patternFill>
                  <bgColor rgb="FFFF0000"/>
                </patternFill>
              </fill>
            </x14:dxf>
          </x14:cfRule>
          <xm:sqref>G63</xm:sqref>
        </x14:conditionalFormatting>
        <x14:conditionalFormatting xmlns:xm="http://schemas.microsoft.com/office/excel/2006/main">
          <x14:cfRule type="cellIs" priority="5" operator="notEqual" id="{FA5D5B85-7A09-4F21-A290-2B403B4FC7AD}">
            <xm:f>MAYO!$R$51</xm:f>
            <x14:dxf>
              <fill>
                <patternFill>
                  <bgColor rgb="FFFF0000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cellIs" priority="6" operator="notEqual" id="{4ADE00F2-98AE-4C70-96CE-BA30993DC6F0}">
            <xm:f>JUNIO!$R$51</xm:f>
            <x14:dxf>
              <fill>
                <patternFill>
                  <bgColor rgb="FFFF00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ellIs" priority="7" operator="notEqual" id="{7A882595-F882-4285-B7A3-B7E4268C3EB5}">
            <xm:f>JULIO!$R$51</xm:f>
            <x14:dxf>
              <fill>
                <patternFill>
                  <bgColor rgb="FFFF0000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cellIs" priority="8" operator="notEqual" id="{E02A7793-0F77-44C7-9502-74FEFD1480A4}">
            <xm:f>AGOSTO!$R$51</xm:f>
            <x14:dxf>
              <fill>
                <patternFill>
                  <bgColor rgb="FFFF0000"/>
                </patternFill>
              </fill>
            </x14:dxf>
          </x14:cfRule>
          <xm:sqref>G67</xm:sqref>
        </x14:conditionalFormatting>
        <x14:conditionalFormatting xmlns:xm="http://schemas.microsoft.com/office/excel/2006/main">
          <x14:cfRule type="cellIs" priority="9" operator="notEqual" id="{7C65D938-469E-43B0-891E-0F87D0F44CD3}">
            <xm:f>SEPTIEMBRE!$R$51</xm:f>
            <x14:dxf>
              <fill>
                <patternFill>
                  <bgColor rgb="FFFF0000"/>
                </patternFill>
              </fill>
            </x14:dxf>
          </x14:cfRule>
          <xm:sqref>G68</xm:sqref>
        </x14:conditionalFormatting>
        <x14:conditionalFormatting xmlns:xm="http://schemas.microsoft.com/office/excel/2006/main">
          <x14:cfRule type="cellIs" priority="10" operator="notEqual" id="{42E23BC1-D450-4A22-9046-08DC53212140}">
            <xm:f>OCTUBRE!$R$51</xm:f>
            <x14:dxf>
              <fill>
                <patternFill>
                  <bgColor rgb="FFFF0000"/>
                </patternFill>
              </fill>
            </x14:dxf>
          </x14:cfRule>
          <xm:sqref>G69</xm:sqref>
        </x14:conditionalFormatting>
        <x14:conditionalFormatting xmlns:xm="http://schemas.microsoft.com/office/excel/2006/main">
          <x14:cfRule type="cellIs" priority="11" operator="notEqual" id="{9F75DF50-8D7C-44ED-A7F9-459C61341962}">
            <xm:f>NOVIEMBRE!$R$51</xm:f>
            <x14:dxf>
              <fill>
                <patternFill>
                  <bgColor rgb="FFFF0000"/>
                </patternFill>
              </fill>
            </x14:dxf>
          </x14:cfRule>
          <xm:sqref>G70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77769-13AE-47C3-90AD-87EF46100A68}">
  <dimension ref="A1:S58"/>
  <sheetViews>
    <sheetView zoomScale="60" zoomScaleNormal="60" workbookViewId="0">
      <selection activeCell="D1" sqref="D1:P6"/>
    </sheetView>
  </sheetViews>
  <sheetFormatPr defaultColWidth="11.42578125" defaultRowHeight="14.25"/>
  <cols>
    <col min="1" max="1" width="11.42578125" style="13" customWidth="1"/>
    <col min="2" max="2" width="26" style="13" customWidth="1"/>
    <col min="3" max="18" width="15.7109375" style="13" customWidth="1"/>
    <col min="19" max="16384" width="11.42578125" style="13"/>
  </cols>
  <sheetData>
    <row r="1" spans="1:19" ht="14.25" customHeight="1">
      <c r="A1" s="190"/>
      <c r="B1" s="191"/>
      <c r="C1" s="191"/>
      <c r="D1" s="194" t="s">
        <v>0</v>
      </c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7"/>
      <c r="R1" s="197"/>
      <c r="S1" s="198"/>
    </row>
    <row r="2" spans="1:19" ht="14.25" customHeight="1">
      <c r="A2" s="192"/>
      <c r="B2" s="193"/>
      <c r="C2" s="193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199"/>
      <c r="R2" s="199"/>
      <c r="S2" s="200"/>
    </row>
    <row r="3" spans="1:19" ht="14.25" customHeight="1">
      <c r="A3" s="192"/>
      <c r="B3" s="193"/>
      <c r="C3" s="193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199"/>
      <c r="R3" s="199"/>
      <c r="S3" s="200"/>
    </row>
    <row r="4" spans="1:19" ht="14.25" customHeight="1">
      <c r="A4" s="192"/>
      <c r="B4" s="193"/>
      <c r="C4" s="193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199"/>
      <c r="R4" s="199"/>
      <c r="S4" s="200"/>
    </row>
    <row r="5" spans="1:19" ht="14.25" customHeight="1">
      <c r="A5" s="192"/>
      <c r="B5" s="193"/>
      <c r="C5" s="193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199"/>
      <c r="R5" s="199"/>
      <c r="S5" s="200"/>
    </row>
    <row r="6" spans="1:19" ht="14.25" customHeight="1">
      <c r="A6" s="192"/>
      <c r="B6" s="193"/>
      <c r="C6" s="193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199"/>
      <c r="R6" s="199"/>
      <c r="S6" s="200"/>
    </row>
    <row r="7" spans="1:19" ht="15.75" customHeight="1">
      <c r="A7" s="176" t="s">
        <v>1</v>
      </c>
      <c r="B7" s="177"/>
      <c r="C7" s="177"/>
      <c r="D7" s="178"/>
      <c r="E7" s="179"/>
      <c r="F7" s="179"/>
      <c r="G7" s="179"/>
      <c r="H7" s="179"/>
      <c r="I7" s="179"/>
      <c r="J7" s="180"/>
      <c r="K7" s="184" t="s">
        <v>2</v>
      </c>
      <c r="L7" s="184"/>
      <c r="M7" s="184"/>
      <c r="N7" s="201"/>
      <c r="O7" s="181"/>
      <c r="P7" s="181"/>
      <c r="Q7" s="181"/>
      <c r="R7" s="181"/>
      <c r="S7" s="182"/>
    </row>
    <row r="8" spans="1:19" ht="15">
      <c r="A8" s="176" t="s">
        <v>3</v>
      </c>
      <c r="B8" s="177"/>
      <c r="C8" s="177"/>
      <c r="D8" s="178"/>
      <c r="E8" s="179"/>
      <c r="F8" s="179"/>
      <c r="G8" s="179"/>
      <c r="H8" s="179"/>
      <c r="I8" s="179"/>
      <c r="J8" s="180"/>
      <c r="K8" s="177" t="s">
        <v>4</v>
      </c>
      <c r="L8" s="177"/>
      <c r="M8" s="177"/>
      <c r="N8" s="181"/>
      <c r="O8" s="181"/>
      <c r="P8" s="181"/>
      <c r="Q8" s="181"/>
      <c r="R8" s="181"/>
      <c r="S8" s="182"/>
    </row>
    <row r="9" spans="1:19" ht="15">
      <c r="A9" s="176" t="s">
        <v>5</v>
      </c>
      <c r="B9" s="177"/>
      <c r="C9" s="177"/>
      <c r="D9" s="178"/>
      <c r="E9" s="179"/>
      <c r="F9" s="179"/>
      <c r="G9" s="179"/>
      <c r="H9" s="179"/>
      <c r="I9" s="179"/>
      <c r="J9" s="180"/>
      <c r="K9" s="177" t="s">
        <v>6</v>
      </c>
      <c r="L9" s="177"/>
      <c r="M9" s="177"/>
      <c r="N9" s="181"/>
      <c r="O9" s="181"/>
      <c r="P9" s="181"/>
      <c r="Q9" s="181"/>
      <c r="R9" s="181"/>
      <c r="S9" s="182"/>
    </row>
    <row r="10" spans="1:19" ht="15">
      <c r="A10" s="176" t="s">
        <v>7</v>
      </c>
      <c r="B10" s="177"/>
      <c r="C10" s="177"/>
      <c r="D10" s="178"/>
      <c r="E10" s="179"/>
      <c r="F10" s="179"/>
      <c r="G10" s="179"/>
      <c r="H10" s="179"/>
      <c r="I10" s="179"/>
      <c r="J10" s="180"/>
      <c r="K10" s="177" t="s">
        <v>67</v>
      </c>
      <c r="L10" s="177"/>
      <c r="M10" s="177"/>
      <c r="N10" s="181"/>
      <c r="O10" s="181"/>
      <c r="P10" s="181"/>
      <c r="Q10" s="181"/>
      <c r="R10" s="181"/>
      <c r="S10" s="182"/>
    </row>
    <row r="11" spans="1:19" ht="15" customHeight="1">
      <c r="A11" s="183" t="s">
        <v>9</v>
      </c>
      <c r="B11" s="184"/>
      <c r="C11" s="184"/>
      <c r="D11" s="185"/>
      <c r="E11" s="186"/>
      <c r="F11" s="186"/>
      <c r="G11" s="186"/>
      <c r="H11" s="186"/>
      <c r="I11" s="186"/>
      <c r="J11" s="187"/>
      <c r="K11" s="181"/>
      <c r="L11" s="181"/>
      <c r="M11" s="181"/>
      <c r="N11" s="188"/>
      <c r="O11" s="188"/>
      <c r="P11" s="188"/>
      <c r="Q11" s="188"/>
      <c r="R11" s="188"/>
      <c r="S11" s="189"/>
    </row>
    <row r="12" spans="1:19">
      <c r="A12" s="14"/>
      <c r="G12" s="13" t="s">
        <v>10</v>
      </c>
      <c r="S12" s="15"/>
    </row>
    <row r="13" spans="1:19" ht="15" thickBot="1">
      <c r="A13" s="14"/>
      <c r="S13" s="16"/>
    </row>
    <row r="14" spans="1:19" ht="14.25" customHeight="1">
      <c r="A14" s="147" t="s">
        <v>11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9"/>
      <c r="S14" s="16"/>
    </row>
    <row r="15" spans="1:19" ht="15" customHeight="1" thickBot="1">
      <c r="A15" s="150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16"/>
    </row>
    <row r="16" spans="1:19" ht="15.75" thickBot="1">
      <c r="A16" s="17"/>
      <c r="B16" s="18">
        <v>10</v>
      </c>
      <c r="C16" s="19">
        <v>11</v>
      </c>
      <c r="D16" s="19">
        <v>12</v>
      </c>
      <c r="E16" s="20">
        <v>13</v>
      </c>
      <c r="F16" s="18">
        <v>14</v>
      </c>
      <c r="G16" s="19">
        <v>15</v>
      </c>
      <c r="H16" s="19">
        <v>16</v>
      </c>
      <c r="I16" s="19">
        <v>17</v>
      </c>
      <c r="J16" s="20">
        <v>18</v>
      </c>
      <c r="K16" s="18">
        <v>19</v>
      </c>
      <c r="L16" s="19">
        <v>20</v>
      </c>
      <c r="M16" s="19">
        <v>21</v>
      </c>
      <c r="N16" s="19">
        <v>22</v>
      </c>
      <c r="O16" s="21">
        <v>23</v>
      </c>
      <c r="P16" s="22">
        <v>24</v>
      </c>
      <c r="Q16" s="23">
        <v>25</v>
      </c>
      <c r="R16" s="24">
        <v>26</v>
      </c>
      <c r="S16" s="16"/>
    </row>
    <row r="17" spans="1:19" ht="15" customHeight="1">
      <c r="A17" s="153" t="s">
        <v>37</v>
      </c>
      <c r="B17" s="156" t="s">
        <v>13</v>
      </c>
      <c r="C17" s="157"/>
      <c r="D17" s="157"/>
      <c r="E17" s="160" t="s">
        <v>14</v>
      </c>
      <c r="F17" s="163" t="s">
        <v>15</v>
      </c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38" t="s">
        <v>16</v>
      </c>
      <c r="R17" s="166" t="s">
        <v>17</v>
      </c>
      <c r="S17" s="16"/>
    </row>
    <row r="18" spans="1:19" ht="15">
      <c r="A18" s="154"/>
      <c r="B18" s="158"/>
      <c r="C18" s="159"/>
      <c r="D18" s="159"/>
      <c r="E18" s="161"/>
      <c r="F18" s="169" t="s">
        <v>18</v>
      </c>
      <c r="G18" s="170"/>
      <c r="H18" s="170"/>
      <c r="I18" s="170"/>
      <c r="J18" s="171" t="s">
        <v>19</v>
      </c>
      <c r="K18" s="169" t="s">
        <v>20</v>
      </c>
      <c r="L18" s="170"/>
      <c r="M18" s="170"/>
      <c r="N18" s="170"/>
      <c r="O18" s="173"/>
      <c r="P18" s="174" t="s">
        <v>21</v>
      </c>
      <c r="Q18" s="139"/>
      <c r="R18" s="167"/>
      <c r="S18" s="16"/>
    </row>
    <row r="19" spans="1:19" ht="60.75" customHeight="1" thickBot="1">
      <c r="A19" s="155"/>
      <c r="B19" s="25" t="s">
        <v>22</v>
      </c>
      <c r="C19" s="26" t="s">
        <v>23</v>
      </c>
      <c r="D19" s="26" t="s">
        <v>24</v>
      </c>
      <c r="E19" s="162"/>
      <c r="F19" s="25" t="s">
        <v>25</v>
      </c>
      <c r="G19" s="26" t="s">
        <v>26</v>
      </c>
      <c r="H19" s="26" t="s">
        <v>27</v>
      </c>
      <c r="I19" s="26" t="s">
        <v>28</v>
      </c>
      <c r="J19" s="172"/>
      <c r="K19" s="25" t="s">
        <v>29</v>
      </c>
      <c r="L19" s="26" t="s">
        <v>30</v>
      </c>
      <c r="M19" s="26" t="s">
        <v>31</v>
      </c>
      <c r="N19" s="26" t="s">
        <v>32</v>
      </c>
      <c r="O19" s="27" t="s">
        <v>33</v>
      </c>
      <c r="P19" s="175"/>
      <c r="Q19" s="165"/>
      <c r="R19" s="168"/>
      <c r="S19" s="16"/>
    </row>
    <row r="20" spans="1:19" ht="15">
      <c r="A20" s="1" t="s">
        <v>50</v>
      </c>
      <c r="B20" s="109">
        <f>+ENERO!B51</f>
        <v>1</v>
      </c>
      <c r="C20" s="110">
        <f>+ENERO!C51</f>
        <v>2</v>
      </c>
      <c r="D20" s="110">
        <f>+ENERO!D51</f>
        <v>3</v>
      </c>
      <c r="E20" s="110">
        <f>+ENERO!E51</f>
        <v>6</v>
      </c>
      <c r="F20" s="110">
        <f>+ENERO!F51</f>
        <v>4</v>
      </c>
      <c r="G20" s="110">
        <f>+ENERO!G51</f>
        <v>5</v>
      </c>
      <c r="H20" s="110">
        <f>+ENERO!H51</f>
        <v>6</v>
      </c>
      <c r="I20" s="110">
        <f>+ENERO!I51</f>
        <v>7</v>
      </c>
      <c r="J20" s="110">
        <f>+ENERO!J51</f>
        <v>22</v>
      </c>
      <c r="K20" s="110">
        <f>+ENERO!K51</f>
        <v>8</v>
      </c>
      <c r="L20" s="110">
        <f>+ENERO!L51</f>
        <v>9</v>
      </c>
      <c r="M20" s="110">
        <f>+ENERO!M51</f>
        <v>0</v>
      </c>
      <c r="N20" s="110">
        <f>+ENERO!N51</f>
        <v>1</v>
      </c>
      <c r="O20" s="110">
        <f>+ENERO!O51</f>
        <v>2</v>
      </c>
      <c r="P20" s="110">
        <f>+ENERO!P51</f>
        <v>20</v>
      </c>
      <c r="Q20" s="110">
        <f>+ENERO!Q51</f>
        <v>42</v>
      </c>
      <c r="R20" s="110">
        <f>+ENERO!R51</f>
        <v>76</v>
      </c>
      <c r="S20" s="16"/>
    </row>
    <row r="21" spans="1:19" ht="15">
      <c r="A21" s="4" t="s">
        <v>55</v>
      </c>
      <c r="B21" s="111">
        <f>+FEBRERO!B51</f>
        <v>1</v>
      </c>
      <c r="C21" s="111">
        <f>+FEBRERO!C51</f>
        <v>2</v>
      </c>
      <c r="D21" s="111">
        <f>+FEBRERO!D51</f>
        <v>3</v>
      </c>
      <c r="E21" s="111">
        <f>+FEBRERO!E51</f>
        <v>6</v>
      </c>
      <c r="F21" s="111">
        <f>+FEBRERO!F51</f>
        <v>4</v>
      </c>
      <c r="G21" s="111">
        <f>+FEBRERO!G51</f>
        <v>5</v>
      </c>
      <c r="H21" s="111">
        <f>+FEBRERO!H51</f>
        <v>6</v>
      </c>
      <c r="I21" s="111">
        <f>+FEBRERO!I51</f>
        <v>7</v>
      </c>
      <c r="J21" s="111">
        <f>+FEBRERO!J51</f>
        <v>22</v>
      </c>
      <c r="K21" s="111">
        <f>+FEBRERO!K51</f>
        <v>8</v>
      </c>
      <c r="L21" s="111">
        <f>+FEBRERO!L51</f>
        <v>9</v>
      </c>
      <c r="M21" s="111">
        <f>+FEBRERO!M51</f>
        <v>0</v>
      </c>
      <c r="N21" s="111">
        <f>+FEBRERO!N51</f>
        <v>1</v>
      </c>
      <c r="O21" s="111">
        <f>+FEBRERO!O51</f>
        <v>2</v>
      </c>
      <c r="P21" s="111">
        <f>+FEBRERO!P51</f>
        <v>20</v>
      </c>
      <c r="Q21" s="111">
        <f>+FEBRERO!Q51</f>
        <v>42</v>
      </c>
      <c r="R21" s="111">
        <f>+FEBRERO!R51</f>
        <v>76</v>
      </c>
      <c r="S21" s="16"/>
    </row>
    <row r="22" spans="1:19" ht="15">
      <c r="A22" s="4" t="s">
        <v>68</v>
      </c>
      <c r="B22" s="111">
        <f>+MARZO!B51</f>
        <v>1</v>
      </c>
      <c r="C22" s="111">
        <f>+MARZO!C51</f>
        <v>2</v>
      </c>
      <c r="D22" s="111">
        <f>+MARZO!D51</f>
        <v>3</v>
      </c>
      <c r="E22" s="111">
        <f>+MARZO!E51</f>
        <v>6</v>
      </c>
      <c r="F22" s="111">
        <f>+MARZO!F51</f>
        <v>4</v>
      </c>
      <c r="G22" s="111">
        <f>+MARZO!G51</f>
        <v>5</v>
      </c>
      <c r="H22" s="111">
        <f>+MARZO!H51</f>
        <v>6</v>
      </c>
      <c r="I22" s="111">
        <f>+MARZO!I51</f>
        <v>7</v>
      </c>
      <c r="J22" s="111">
        <f>+MARZO!J51</f>
        <v>22</v>
      </c>
      <c r="K22" s="111">
        <f>+MARZO!K51</f>
        <v>8</v>
      </c>
      <c r="L22" s="111">
        <f>+MARZO!L51</f>
        <v>9</v>
      </c>
      <c r="M22" s="111">
        <f>+MARZO!M51</f>
        <v>0</v>
      </c>
      <c r="N22" s="111">
        <f>+MARZO!N51</f>
        <v>1</v>
      </c>
      <c r="O22" s="111">
        <f>+MARZO!O51</f>
        <v>2</v>
      </c>
      <c r="P22" s="111">
        <f>+MARZO!P51</f>
        <v>20</v>
      </c>
      <c r="Q22" s="111">
        <f>+MARZO!Q51</f>
        <v>42</v>
      </c>
      <c r="R22" s="111">
        <f>+MARZO!R51</f>
        <v>76</v>
      </c>
      <c r="S22" s="16"/>
    </row>
    <row r="23" spans="1:19" ht="15">
      <c r="A23" s="4" t="s">
        <v>57</v>
      </c>
      <c r="B23" s="111">
        <f>+ABRIL!B51</f>
        <v>1</v>
      </c>
      <c r="C23" s="111">
        <f>+ABRIL!C51</f>
        <v>2</v>
      </c>
      <c r="D23" s="111">
        <f>+ABRIL!D51</f>
        <v>3</v>
      </c>
      <c r="E23" s="111">
        <f>+ABRIL!E51</f>
        <v>6</v>
      </c>
      <c r="F23" s="111">
        <f>+ABRIL!F51</f>
        <v>4</v>
      </c>
      <c r="G23" s="111">
        <f>+ABRIL!G51</f>
        <v>5</v>
      </c>
      <c r="H23" s="111">
        <f>+ABRIL!H51</f>
        <v>6</v>
      </c>
      <c r="I23" s="111">
        <f>+ABRIL!I51</f>
        <v>7</v>
      </c>
      <c r="J23" s="111">
        <f>+ABRIL!J51</f>
        <v>22</v>
      </c>
      <c r="K23" s="111">
        <f>+ABRIL!K51</f>
        <v>8</v>
      </c>
      <c r="L23" s="111">
        <f>+ABRIL!L51</f>
        <v>9</v>
      </c>
      <c r="M23" s="111">
        <f>+ABRIL!M51</f>
        <v>0</v>
      </c>
      <c r="N23" s="111">
        <f>+ABRIL!N51</f>
        <v>1</v>
      </c>
      <c r="O23" s="111">
        <f>+ABRIL!O51</f>
        <v>2</v>
      </c>
      <c r="P23" s="111">
        <f>+ABRIL!P51</f>
        <v>20</v>
      </c>
      <c r="Q23" s="111">
        <f>+ABRIL!Q51</f>
        <v>42</v>
      </c>
      <c r="R23" s="111">
        <f>+ABRIL!R51</f>
        <v>76</v>
      </c>
      <c r="S23" s="16"/>
    </row>
    <row r="24" spans="1:19" ht="15">
      <c r="A24" s="4" t="s">
        <v>59</v>
      </c>
      <c r="B24" s="111">
        <f>+MAYO!B51</f>
        <v>1</v>
      </c>
      <c r="C24" s="111">
        <f>+MAYO!C51</f>
        <v>2</v>
      </c>
      <c r="D24" s="111">
        <f>+MAYO!D51</f>
        <v>3</v>
      </c>
      <c r="E24" s="111">
        <f>+MAYO!E51</f>
        <v>6</v>
      </c>
      <c r="F24" s="111">
        <f>+MAYO!F51</f>
        <v>4</v>
      </c>
      <c r="G24" s="111">
        <f>+MAYO!G51</f>
        <v>5</v>
      </c>
      <c r="H24" s="111">
        <f>+MAYO!H51</f>
        <v>6</v>
      </c>
      <c r="I24" s="111">
        <f>+MAYO!I51</f>
        <v>7</v>
      </c>
      <c r="J24" s="111">
        <f>+MAYO!J51</f>
        <v>22</v>
      </c>
      <c r="K24" s="111">
        <f>+MAYO!K51</f>
        <v>8</v>
      </c>
      <c r="L24" s="111">
        <f>+MAYO!L51</f>
        <v>9</v>
      </c>
      <c r="M24" s="111">
        <f>+MAYO!M51</f>
        <v>0</v>
      </c>
      <c r="N24" s="111">
        <f>+MAYO!N51</f>
        <v>1</v>
      </c>
      <c r="O24" s="111">
        <f>+MAYO!O51</f>
        <v>2</v>
      </c>
      <c r="P24" s="111">
        <f>+MAYO!P51</f>
        <v>20</v>
      </c>
      <c r="Q24" s="111">
        <f>+MAYO!Q51</f>
        <v>42</v>
      </c>
      <c r="R24" s="111">
        <f>+MAYO!R51</f>
        <v>76</v>
      </c>
      <c r="S24" s="16"/>
    </row>
    <row r="25" spans="1:19" ht="15">
      <c r="A25" s="4" t="s">
        <v>60</v>
      </c>
      <c r="B25" s="111">
        <f>+JUNIO!B51</f>
        <v>1</v>
      </c>
      <c r="C25" s="111">
        <f>+JUNIO!C51</f>
        <v>2</v>
      </c>
      <c r="D25" s="111">
        <f>+JUNIO!D51</f>
        <v>3</v>
      </c>
      <c r="E25" s="111">
        <f>+JUNIO!E51</f>
        <v>6</v>
      </c>
      <c r="F25" s="111">
        <f>+JUNIO!F51</f>
        <v>4</v>
      </c>
      <c r="G25" s="111">
        <f>+JUNIO!G51</f>
        <v>5</v>
      </c>
      <c r="H25" s="111">
        <f>+JUNIO!H51</f>
        <v>6</v>
      </c>
      <c r="I25" s="111">
        <f>+JUNIO!I51</f>
        <v>7</v>
      </c>
      <c r="J25" s="111">
        <f>+JUNIO!J51</f>
        <v>22</v>
      </c>
      <c r="K25" s="111">
        <f>+JUNIO!K51</f>
        <v>8</v>
      </c>
      <c r="L25" s="111">
        <f>+JUNIO!L51</f>
        <v>9</v>
      </c>
      <c r="M25" s="111">
        <f>+JUNIO!M51</f>
        <v>0</v>
      </c>
      <c r="N25" s="111">
        <f>+JUNIO!N51</f>
        <v>1</v>
      </c>
      <c r="O25" s="111">
        <f>+JUNIO!O51</f>
        <v>2</v>
      </c>
      <c r="P25" s="111">
        <f>+JUNIO!P51</f>
        <v>20</v>
      </c>
      <c r="Q25" s="111">
        <f>+JUNIO!Q51</f>
        <v>42</v>
      </c>
      <c r="R25" s="111">
        <f>+JUNIO!R51</f>
        <v>76</v>
      </c>
      <c r="S25" s="16"/>
    </row>
    <row r="26" spans="1:19" ht="15">
      <c r="A26" s="4" t="s">
        <v>61</v>
      </c>
      <c r="B26" s="111">
        <f>+JULIO!B51</f>
        <v>1</v>
      </c>
      <c r="C26" s="111">
        <f>+JULIO!C51</f>
        <v>2</v>
      </c>
      <c r="D26" s="111">
        <f>+JULIO!D51</f>
        <v>3</v>
      </c>
      <c r="E26" s="111">
        <f>+JULIO!E51</f>
        <v>6</v>
      </c>
      <c r="F26" s="111">
        <f>+JULIO!F51</f>
        <v>4</v>
      </c>
      <c r="G26" s="111">
        <f>+JULIO!G51</f>
        <v>5</v>
      </c>
      <c r="H26" s="111">
        <f>+JULIO!H51</f>
        <v>6</v>
      </c>
      <c r="I26" s="111">
        <f>+JULIO!I51</f>
        <v>7</v>
      </c>
      <c r="J26" s="111">
        <f>+JULIO!J51</f>
        <v>22</v>
      </c>
      <c r="K26" s="111">
        <f>+JULIO!K51</f>
        <v>8</v>
      </c>
      <c r="L26" s="111">
        <f>+JULIO!L51</f>
        <v>9</v>
      </c>
      <c r="M26" s="111">
        <f>+JULIO!M51</f>
        <v>0</v>
      </c>
      <c r="N26" s="111">
        <f>+JULIO!N51</f>
        <v>1</v>
      </c>
      <c r="O26" s="111">
        <f>+JULIO!O51</f>
        <v>2</v>
      </c>
      <c r="P26" s="111">
        <f>+JULIO!P51</f>
        <v>20</v>
      </c>
      <c r="Q26" s="111">
        <f>+JULIO!Q51</f>
        <v>42</v>
      </c>
      <c r="R26" s="111">
        <f>+JULIO!R51</f>
        <v>76</v>
      </c>
      <c r="S26" s="16"/>
    </row>
    <row r="27" spans="1:19" ht="15">
      <c r="A27" s="4" t="s">
        <v>62</v>
      </c>
      <c r="B27" s="111">
        <f>+AGOSTO!B51</f>
        <v>1</v>
      </c>
      <c r="C27" s="111">
        <f>+AGOSTO!C51</f>
        <v>2</v>
      </c>
      <c r="D27" s="111">
        <f>+AGOSTO!D51</f>
        <v>3</v>
      </c>
      <c r="E27" s="111">
        <f>+AGOSTO!E51</f>
        <v>6</v>
      </c>
      <c r="F27" s="111">
        <f>+AGOSTO!F51</f>
        <v>4</v>
      </c>
      <c r="G27" s="111">
        <f>+AGOSTO!G51</f>
        <v>5</v>
      </c>
      <c r="H27" s="111">
        <f>+AGOSTO!H51</f>
        <v>6</v>
      </c>
      <c r="I27" s="111">
        <f>+AGOSTO!I51</f>
        <v>7</v>
      </c>
      <c r="J27" s="111">
        <f>+AGOSTO!J51</f>
        <v>22</v>
      </c>
      <c r="K27" s="111">
        <f>+AGOSTO!K51</f>
        <v>8</v>
      </c>
      <c r="L27" s="111">
        <f>+AGOSTO!L51</f>
        <v>9</v>
      </c>
      <c r="M27" s="111">
        <f>+AGOSTO!M51</f>
        <v>0</v>
      </c>
      <c r="N27" s="111">
        <f>+AGOSTO!N51</f>
        <v>1</v>
      </c>
      <c r="O27" s="111">
        <f>+AGOSTO!O51</f>
        <v>2</v>
      </c>
      <c r="P27" s="111">
        <f>+AGOSTO!P51</f>
        <v>20</v>
      </c>
      <c r="Q27" s="111">
        <f>+AGOSTO!Q51</f>
        <v>42</v>
      </c>
      <c r="R27" s="111">
        <f>+AGOSTO!R51</f>
        <v>76</v>
      </c>
      <c r="S27" s="16"/>
    </row>
    <row r="28" spans="1:19" ht="15">
      <c r="A28" s="4" t="s">
        <v>63</v>
      </c>
      <c r="B28" s="111">
        <f>+SEPTIEMBRE!B51</f>
        <v>1</v>
      </c>
      <c r="C28" s="111">
        <f>+SEPTIEMBRE!C51</f>
        <v>2</v>
      </c>
      <c r="D28" s="111">
        <f>+SEPTIEMBRE!D51</f>
        <v>3</v>
      </c>
      <c r="E28" s="111">
        <f>+SEPTIEMBRE!E51</f>
        <v>6</v>
      </c>
      <c r="F28" s="111">
        <f>+SEPTIEMBRE!F51</f>
        <v>4</v>
      </c>
      <c r="G28" s="111">
        <f>+SEPTIEMBRE!G51</f>
        <v>5</v>
      </c>
      <c r="H28" s="111">
        <f>+SEPTIEMBRE!H51</f>
        <v>6</v>
      </c>
      <c r="I28" s="111">
        <f>+SEPTIEMBRE!I51</f>
        <v>7</v>
      </c>
      <c r="J28" s="111">
        <f>+SEPTIEMBRE!J51</f>
        <v>22</v>
      </c>
      <c r="K28" s="111">
        <f>+SEPTIEMBRE!K51</f>
        <v>8</v>
      </c>
      <c r="L28" s="111">
        <f>+SEPTIEMBRE!L51</f>
        <v>9</v>
      </c>
      <c r="M28" s="111">
        <f>+SEPTIEMBRE!M51</f>
        <v>0</v>
      </c>
      <c r="N28" s="111">
        <f>+SEPTIEMBRE!N51</f>
        <v>1</v>
      </c>
      <c r="O28" s="111">
        <f>+SEPTIEMBRE!O51</f>
        <v>2</v>
      </c>
      <c r="P28" s="111">
        <f>+SEPTIEMBRE!P51</f>
        <v>20</v>
      </c>
      <c r="Q28" s="111">
        <f>+SEPTIEMBRE!Q51</f>
        <v>42</v>
      </c>
      <c r="R28" s="111">
        <f>+SEPTIEMBRE!R51</f>
        <v>76</v>
      </c>
      <c r="S28" s="16"/>
    </row>
    <row r="29" spans="1:19" ht="15">
      <c r="A29" s="4" t="s">
        <v>64</v>
      </c>
      <c r="B29" s="111">
        <f>+OCTUBRE!B51</f>
        <v>1</v>
      </c>
      <c r="C29" s="111">
        <f>+OCTUBRE!C51</f>
        <v>2</v>
      </c>
      <c r="D29" s="111">
        <f>+OCTUBRE!D51</f>
        <v>8</v>
      </c>
      <c r="E29" s="111">
        <f>+OCTUBRE!E51</f>
        <v>11</v>
      </c>
      <c r="F29" s="111">
        <f>+OCTUBRE!F51</f>
        <v>4</v>
      </c>
      <c r="G29" s="111">
        <f>+OCTUBRE!G51</f>
        <v>5</v>
      </c>
      <c r="H29" s="111">
        <f>+OCTUBRE!H51</f>
        <v>6</v>
      </c>
      <c r="I29" s="111">
        <f>+OCTUBRE!I51</f>
        <v>7</v>
      </c>
      <c r="J29" s="111">
        <f>+OCTUBRE!J51</f>
        <v>22</v>
      </c>
      <c r="K29" s="111">
        <f>+OCTUBRE!K51</f>
        <v>8</v>
      </c>
      <c r="L29" s="111">
        <f>+OCTUBRE!L51</f>
        <v>9</v>
      </c>
      <c r="M29" s="111">
        <f>+OCTUBRE!M51</f>
        <v>0</v>
      </c>
      <c r="N29" s="111">
        <f>+OCTUBRE!N51</f>
        <v>1</v>
      </c>
      <c r="O29" s="111">
        <f>+OCTUBRE!O51</f>
        <v>2</v>
      </c>
      <c r="P29" s="111">
        <f>+OCTUBRE!P51</f>
        <v>20</v>
      </c>
      <c r="Q29" s="111">
        <f>+OCTUBRE!Q51</f>
        <v>42</v>
      </c>
      <c r="R29" s="111">
        <f>+OCTUBRE!R51</f>
        <v>86</v>
      </c>
      <c r="S29" s="16"/>
    </row>
    <row r="30" spans="1:19" ht="15">
      <c r="A30" s="4" t="s">
        <v>65</v>
      </c>
      <c r="B30" s="111">
        <f>+NOVIEMBRE!B51</f>
        <v>1</v>
      </c>
      <c r="C30" s="111">
        <f>+NOVIEMBRE!C51</f>
        <v>2</v>
      </c>
      <c r="D30" s="111">
        <f>+NOVIEMBRE!D51</f>
        <v>3</v>
      </c>
      <c r="E30" s="111">
        <f>+NOVIEMBRE!E51</f>
        <v>6</v>
      </c>
      <c r="F30" s="111">
        <f>+NOVIEMBRE!F51</f>
        <v>4</v>
      </c>
      <c r="G30" s="111">
        <f>+NOVIEMBRE!G51</f>
        <v>5</v>
      </c>
      <c r="H30" s="111">
        <f>+NOVIEMBRE!H51</f>
        <v>6</v>
      </c>
      <c r="I30" s="111">
        <f>+NOVIEMBRE!I51</f>
        <v>7</v>
      </c>
      <c r="J30" s="111">
        <f>+NOVIEMBRE!J51</f>
        <v>22</v>
      </c>
      <c r="K30" s="111">
        <f>+NOVIEMBRE!K51</f>
        <v>8</v>
      </c>
      <c r="L30" s="111">
        <f>+NOVIEMBRE!L51</f>
        <v>9</v>
      </c>
      <c r="M30" s="111">
        <f>+NOVIEMBRE!M51</f>
        <v>0</v>
      </c>
      <c r="N30" s="111">
        <f>+NOVIEMBRE!N51</f>
        <v>1</v>
      </c>
      <c r="O30" s="111">
        <f>+NOVIEMBRE!O51</f>
        <v>2</v>
      </c>
      <c r="P30" s="111">
        <f>+NOVIEMBRE!P51</f>
        <v>20</v>
      </c>
      <c r="Q30" s="111">
        <f>+NOVIEMBRE!Q51</f>
        <v>42</v>
      </c>
      <c r="R30" s="111">
        <f>+NOVIEMBRE!R51</f>
        <v>76</v>
      </c>
      <c r="S30" s="16"/>
    </row>
    <row r="31" spans="1:19" ht="15.75" thickBot="1">
      <c r="A31" s="4" t="s">
        <v>66</v>
      </c>
      <c r="B31" s="111">
        <f>+DICIEMBRE!B51</f>
        <v>1</v>
      </c>
      <c r="C31" s="111">
        <f>+DICIEMBRE!C51</f>
        <v>2</v>
      </c>
      <c r="D31" s="111">
        <f>+DICIEMBRE!D51</f>
        <v>3</v>
      </c>
      <c r="E31" s="111">
        <f>+DICIEMBRE!E51</f>
        <v>6</v>
      </c>
      <c r="F31" s="111">
        <f>+DICIEMBRE!F51</f>
        <v>4</v>
      </c>
      <c r="G31" s="111">
        <f>+DICIEMBRE!G51</f>
        <v>5</v>
      </c>
      <c r="H31" s="111">
        <f>+DICIEMBRE!H51</f>
        <v>6</v>
      </c>
      <c r="I31" s="111">
        <f>+DICIEMBRE!I51</f>
        <v>7</v>
      </c>
      <c r="J31" s="111">
        <f>+DICIEMBRE!J51</f>
        <v>22</v>
      </c>
      <c r="K31" s="111">
        <f>+DICIEMBRE!K51</f>
        <v>8</v>
      </c>
      <c r="L31" s="111">
        <f>+DICIEMBRE!L51</f>
        <v>9</v>
      </c>
      <c r="M31" s="111">
        <f>+DICIEMBRE!M51</f>
        <v>0</v>
      </c>
      <c r="N31" s="111">
        <f>+DICIEMBRE!N51</f>
        <v>1</v>
      </c>
      <c r="O31" s="111">
        <f>+DICIEMBRE!O51</f>
        <v>2</v>
      </c>
      <c r="P31" s="111">
        <f>+DICIEMBRE!P51</f>
        <v>20</v>
      </c>
      <c r="Q31" s="111">
        <f>+DICIEMBRE!Q51</f>
        <v>42</v>
      </c>
      <c r="R31" s="111">
        <f>+DICIEMBRE!R51</f>
        <v>76</v>
      </c>
      <c r="S31" s="16"/>
    </row>
    <row r="32" spans="1:19" ht="15" thickBot="1">
      <c r="A32" s="28" t="s">
        <v>17</v>
      </c>
      <c r="B32" s="112">
        <f t="shared" ref="B32:R32" si="0">SUM(B20:B31)</f>
        <v>12</v>
      </c>
      <c r="C32" s="112">
        <f t="shared" si="0"/>
        <v>24</v>
      </c>
      <c r="D32" s="112">
        <f t="shared" si="0"/>
        <v>41</v>
      </c>
      <c r="E32" s="112">
        <f t="shared" si="0"/>
        <v>77</v>
      </c>
      <c r="F32" s="112">
        <f t="shared" si="0"/>
        <v>48</v>
      </c>
      <c r="G32" s="112">
        <f t="shared" si="0"/>
        <v>60</v>
      </c>
      <c r="H32" s="112">
        <f t="shared" si="0"/>
        <v>72</v>
      </c>
      <c r="I32" s="112">
        <f t="shared" si="0"/>
        <v>84</v>
      </c>
      <c r="J32" s="112">
        <f t="shared" si="0"/>
        <v>264</v>
      </c>
      <c r="K32" s="112">
        <f t="shared" si="0"/>
        <v>96</v>
      </c>
      <c r="L32" s="112">
        <f t="shared" si="0"/>
        <v>108</v>
      </c>
      <c r="M32" s="112">
        <f t="shared" si="0"/>
        <v>0</v>
      </c>
      <c r="N32" s="112">
        <f t="shared" si="0"/>
        <v>12</v>
      </c>
      <c r="O32" s="112">
        <f t="shared" si="0"/>
        <v>24</v>
      </c>
      <c r="P32" s="112">
        <f t="shared" si="0"/>
        <v>240</v>
      </c>
      <c r="Q32" s="112">
        <f t="shared" si="0"/>
        <v>504</v>
      </c>
      <c r="R32" s="112">
        <f t="shared" si="0"/>
        <v>922</v>
      </c>
      <c r="S32" s="16"/>
    </row>
    <row r="33" spans="1:19">
      <c r="A33" s="14"/>
      <c r="S33" s="16"/>
    </row>
    <row r="34" spans="1:19">
      <c r="A34" s="14"/>
      <c r="S34" s="16"/>
    </row>
    <row r="35" spans="1:19" ht="15">
      <c r="A35" s="131" t="s">
        <v>34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29"/>
      <c r="Q35" s="29"/>
      <c r="S35" s="16"/>
    </row>
    <row r="36" spans="1:19" ht="15">
      <c r="A36" s="131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29"/>
      <c r="Q36" s="29"/>
      <c r="S36" s="16"/>
    </row>
    <row r="37" spans="1:19" ht="15.75" thickBot="1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29"/>
      <c r="Q37" s="29"/>
      <c r="S37" s="16"/>
    </row>
    <row r="38" spans="1:19" ht="15.75" thickBot="1">
      <c r="A38" s="14"/>
      <c r="B38" s="18">
        <v>27</v>
      </c>
      <c r="C38" s="19">
        <v>29</v>
      </c>
      <c r="D38" s="19">
        <v>29</v>
      </c>
      <c r="E38" s="21">
        <v>30</v>
      </c>
      <c r="F38" s="20">
        <v>31</v>
      </c>
      <c r="G38" s="30">
        <v>32</v>
      </c>
      <c r="J38" s="133">
        <v>33</v>
      </c>
      <c r="K38" s="134"/>
      <c r="L38" s="134"/>
      <c r="M38" s="134"/>
      <c r="N38" s="134"/>
      <c r="O38" s="135"/>
      <c r="P38" s="29"/>
      <c r="Q38" s="29"/>
      <c r="S38" s="16"/>
    </row>
    <row r="39" spans="1:19" ht="15.75" thickBot="1">
      <c r="A39" s="31" t="s">
        <v>35</v>
      </c>
      <c r="B39" s="136" t="s">
        <v>36</v>
      </c>
      <c r="C39" s="137"/>
      <c r="D39" s="137"/>
      <c r="E39" s="137"/>
      <c r="F39" s="137"/>
      <c r="G39" s="138" t="s">
        <v>17</v>
      </c>
      <c r="H39" s="32"/>
      <c r="I39" s="140" t="s">
        <v>37</v>
      </c>
      <c r="J39" s="33"/>
      <c r="K39" s="142" t="s">
        <v>38</v>
      </c>
      <c r="L39" s="143"/>
      <c r="M39" s="143"/>
      <c r="N39" s="144"/>
      <c r="O39" s="145" t="s">
        <v>39</v>
      </c>
      <c r="P39" s="29"/>
      <c r="Q39" s="29"/>
      <c r="R39" s="32"/>
      <c r="S39" s="16"/>
    </row>
    <row r="40" spans="1:19" ht="82.5" customHeight="1" thickBot="1">
      <c r="A40" s="34"/>
      <c r="B40" s="35" t="s">
        <v>40</v>
      </c>
      <c r="C40" s="36" t="s">
        <v>41</v>
      </c>
      <c r="D40" s="37" t="s">
        <v>42</v>
      </c>
      <c r="E40" s="38" t="s">
        <v>43</v>
      </c>
      <c r="F40" s="38" t="s">
        <v>44</v>
      </c>
      <c r="G40" s="139"/>
      <c r="H40" s="32"/>
      <c r="I40" s="141"/>
      <c r="J40" s="117" t="s">
        <v>45</v>
      </c>
      <c r="K40" s="118" t="s">
        <v>46</v>
      </c>
      <c r="L40" s="119" t="s">
        <v>47</v>
      </c>
      <c r="M40" s="119" t="s">
        <v>48</v>
      </c>
      <c r="N40" s="120" t="s">
        <v>49</v>
      </c>
      <c r="O40" s="146"/>
      <c r="P40" s="29"/>
      <c r="Q40" s="29"/>
      <c r="R40" s="32"/>
      <c r="S40" s="16"/>
    </row>
    <row r="41" spans="1:19" ht="15">
      <c r="A41" s="4" t="s">
        <v>50</v>
      </c>
      <c r="B41" s="102">
        <f>+ENERO!$B$60</f>
        <v>0</v>
      </c>
      <c r="C41" s="103">
        <f>+ENERO!$C$60</f>
        <v>0</v>
      </c>
      <c r="D41" s="103">
        <f>+ENERO!$D$60</f>
        <v>0</v>
      </c>
      <c r="E41" s="103">
        <f>+ENERO!$E$60</f>
        <v>0</v>
      </c>
      <c r="F41" s="103">
        <f>+ENERO!$F$60</f>
        <v>0</v>
      </c>
      <c r="G41" s="84">
        <f>SUM(B41:F41)</f>
        <v>0</v>
      </c>
      <c r="H41" s="32"/>
      <c r="I41" s="91" t="s">
        <v>50</v>
      </c>
      <c r="J41" s="122">
        <f>(B41/$R$20)*100</f>
        <v>0</v>
      </c>
      <c r="K41" s="123">
        <f t="shared" ref="K41:N41" si="1">(C41/$R$20)*100</f>
        <v>0</v>
      </c>
      <c r="L41" s="123">
        <f t="shared" si="1"/>
        <v>0</v>
      </c>
      <c r="M41" s="123">
        <f t="shared" si="1"/>
        <v>0</v>
      </c>
      <c r="N41" s="124">
        <f t="shared" si="1"/>
        <v>0</v>
      </c>
      <c r="O41" s="116">
        <f>SUM(J41:N41)/100</f>
        <v>0</v>
      </c>
      <c r="P41" s="29"/>
      <c r="Q41" s="29"/>
      <c r="R41" s="32"/>
      <c r="S41" s="16"/>
    </row>
    <row r="42" spans="1:19" ht="15">
      <c r="A42" s="4" t="s">
        <v>55</v>
      </c>
      <c r="B42" s="102">
        <f>+FEBRERO!$B$61</f>
        <v>0</v>
      </c>
      <c r="C42" s="103">
        <f>+FEBRERO!$C$61</f>
        <v>0</v>
      </c>
      <c r="D42" s="103">
        <f>+FEBRERO!$D$61</f>
        <v>0</v>
      </c>
      <c r="E42" s="103">
        <f>+FEBRERO!$E$61</f>
        <v>0</v>
      </c>
      <c r="F42" s="103">
        <f>+FEBRERO!$F$61</f>
        <v>0</v>
      </c>
      <c r="G42" s="84">
        <f t="shared" ref="G42:G52" si="2">SUM(B42:F42)</f>
        <v>0</v>
      </c>
      <c r="H42" s="32"/>
      <c r="I42" s="91" t="s">
        <v>55</v>
      </c>
      <c r="J42" s="125">
        <f>(B42/$R$21)*100</f>
        <v>0</v>
      </c>
      <c r="K42" s="126">
        <f t="shared" ref="K42:N42" si="3">(C42/$R$21)*100</f>
        <v>0</v>
      </c>
      <c r="L42" s="126">
        <f t="shared" si="3"/>
        <v>0</v>
      </c>
      <c r="M42" s="126">
        <f t="shared" si="3"/>
        <v>0</v>
      </c>
      <c r="N42" s="127">
        <f t="shared" si="3"/>
        <v>0</v>
      </c>
      <c r="O42" s="116">
        <f t="shared" ref="O42:O52" si="4">SUM(J42:N42)/100</f>
        <v>0</v>
      </c>
      <c r="P42" s="29"/>
      <c r="Q42" s="29"/>
      <c r="R42" s="32"/>
      <c r="S42" s="16"/>
    </row>
    <row r="43" spans="1:19" ht="15">
      <c r="A43" s="4" t="s">
        <v>56</v>
      </c>
      <c r="B43" s="104">
        <f>+MARZO!$B$62</f>
        <v>0</v>
      </c>
      <c r="C43" s="103">
        <f>+MARZO!$C$62</f>
        <v>0</v>
      </c>
      <c r="D43" s="103">
        <f>+MARZO!$D$62</f>
        <v>0</v>
      </c>
      <c r="E43" s="103">
        <f>+MARZO!$E$62</f>
        <v>0</v>
      </c>
      <c r="F43" s="103">
        <f>+MARZO!$F$62</f>
        <v>0</v>
      </c>
      <c r="G43" s="84">
        <f t="shared" si="2"/>
        <v>0</v>
      </c>
      <c r="H43" s="32"/>
      <c r="I43" s="91" t="s">
        <v>56</v>
      </c>
      <c r="J43" s="125">
        <f>(B43/$R$22)*100</f>
        <v>0</v>
      </c>
      <c r="K43" s="126">
        <f t="shared" ref="K43:N43" si="5">(C43/$R$22)*100</f>
        <v>0</v>
      </c>
      <c r="L43" s="126">
        <f t="shared" si="5"/>
        <v>0</v>
      </c>
      <c r="M43" s="126">
        <f t="shared" si="5"/>
        <v>0</v>
      </c>
      <c r="N43" s="127">
        <f t="shared" si="5"/>
        <v>0</v>
      </c>
      <c r="O43" s="116">
        <f t="shared" si="4"/>
        <v>0</v>
      </c>
      <c r="P43" s="29"/>
      <c r="Q43" s="29"/>
      <c r="R43" s="32"/>
      <c r="S43" s="16"/>
    </row>
    <row r="44" spans="1:19" ht="15">
      <c r="A44" s="4" t="s">
        <v>57</v>
      </c>
      <c r="B44" s="104">
        <f>+ABRIL!$B$63</f>
        <v>0</v>
      </c>
      <c r="C44" s="103">
        <f>+ABRIL!$C$63</f>
        <v>0</v>
      </c>
      <c r="D44" s="103">
        <f>+ABRIL!$D$63</f>
        <v>0</v>
      </c>
      <c r="E44" s="103">
        <f>+ABRIL!$E$63</f>
        <v>0</v>
      </c>
      <c r="F44" s="103">
        <f>+ABRIL!$F$63</f>
        <v>0</v>
      </c>
      <c r="G44" s="84">
        <f t="shared" si="2"/>
        <v>0</v>
      </c>
      <c r="H44" s="32"/>
      <c r="I44" s="91" t="s">
        <v>57</v>
      </c>
      <c r="J44" s="125">
        <f>(B44/$R$23)*100</f>
        <v>0</v>
      </c>
      <c r="K44" s="126">
        <f t="shared" ref="K44:N44" si="6">(C44/$R$23)*100</f>
        <v>0</v>
      </c>
      <c r="L44" s="126">
        <f t="shared" si="6"/>
        <v>0</v>
      </c>
      <c r="M44" s="126">
        <f t="shared" si="6"/>
        <v>0</v>
      </c>
      <c r="N44" s="127">
        <f t="shared" si="6"/>
        <v>0</v>
      </c>
      <c r="O44" s="116">
        <f t="shared" si="4"/>
        <v>0</v>
      </c>
      <c r="P44" s="29"/>
      <c r="Q44" s="29"/>
      <c r="R44" s="32"/>
      <c r="S44" s="16"/>
    </row>
    <row r="45" spans="1:19" ht="15">
      <c r="A45" s="4" t="s">
        <v>59</v>
      </c>
      <c r="B45" s="104">
        <f>+MAYO!$B$64</f>
        <v>0</v>
      </c>
      <c r="C45" s="103">
        <f>+MAYO!$C$64</f>
        <v>0</v>
      </c>
      <c r="D45" s="103">
        <f>+MAYO!$D$64</f>
        <v>0</v>
      </c>
      <c r="E45" s="103">
        <f>+MAYO!$E$64</f>
        <v>0</v>
      </c>
      <c r="F45" s="105">
        <f>+MAYO!$F$64</f>
        <v>0</v>
      </c>
      <c r="G45" s="84">
        <f t="shared" si="2"/>
        <v>0</v>
      </c>
      <c r="I45" s="91" t="s">
        <v>59</v>
      </c>
      <c r="J45" s="125">
        <f>(B45/$R$24)*100</f>
        <v>0</v>
      </c>
      <c r="K45" s="126">
        <f t="shared" ref="K45:N45" si="7">(C45/$R$24)*100</f>
        <v>0</v>
      </c>
      <c r="L45" s="126">
        <f t="shared" si="7"/>
        <v>0</v>
      </c>
      <c r="M45" s="126">
        <f t="shared" si="7"/>
        <v>0</v>
      </c>
      <c r="N45" s="127">
        <f t="shared" si="7"/>
        <v>0</v>
      </c>
      <c r="O45" s="116">
        <f t="shared" si="4"/>
        <v>0</v>
      </c>
      <c r="P45" s="29"/>
      <c r="Q45" s="29"/>
      <c r="S45" s="16"/>
    </row>
    <row r="46" spans="1:19" ht="15">
      <c r="A46" s="4" t="s">
        <v>60</v>
      </c>
      <c r="B46" s="104">
        <f>+JUNIO!$B$65</f>
        <v>0</v>
      </c>
      <c r="C46" s="103">
        <f>+JUNIO!$C$65</f>
        <v>0</v>
      </c>
      <c r="D46" s="103">
        <f>+JUNIO!$D$65</f>
        <v>0</v>
      </c>
      <c r="E46" s="103">
        <f>+JUNIO!$E$65</f>
        <v>0</v>
      </c>
      <c r="F46" s="105">
        <f>+JUNIO!$F$65</f>
        <v>0</v>
      </c>
      <c r="G46" s="84">
        <f t="shared" si="2"/>
        <v>0</v>
      </c>
      <c r="I46" s="91" t="s">
        <v>60</v>
      </c>
      <c r="J46" s="125">
        <f>(B46/$R$25)*100</f>
        <v>0</v>
      </c>
      <c r="K46" s="126">
        <f t="shared" ref="K46:N46" si="8">(C46/$R$25)*100</f>
        <v>0</v>
      </c>
      <c r="L46" s="126">
        <f t="shared" si="8"/>
        <v>0</v>
      </c>
      <c r="M46" s="126">
        <f t="shared" si="8"/>
        <v>0</v>
      </c>
      <c r="N46" s="127">
        <f t="shared" si="8"/>
        <v>0</v>
      </c>
      <c r="O46" s="116">
        <f t="shared" si="4"/>
        <v>0</v>
      </c>
      <c r="P46" s="29"/>
      <c r="Q46" s="29"/>
      <c r="S46" s="16"/>
    </row>
    <row r="47" spans="1:19" ht="15">
      <c r="A47" s="4" t="s">
        <v>61</v>
      </c>
      <c r="B47" s="104">
        <f>+JULIO!$B$66</f>
        <v>0</v>
      </c>
      <c r="C47" s="103">
        <f>+JULIO!$C$66</f>
        <v>0</v>
      </c>
      <c r="D47" s="103">
        <f>+JULIO!$D$66</f>
        <v>0</v>
      </c>
      <c r="E47" s="103">
        <f>+JULIO!$E$66</f>
        <v>0</v>
      </c>
      <c r="F47" s="105">
        <f>+JULIO!$F$66</f>
        <v>0</v>
      </c>
      <c r="G47" s="84">
        <f t="shared" si="2"/>
        <v>0</v>
      </c>
      <c r="I47" s="91" t="s">
        <v>61</v>
      </c>
      <c r="J47" s="125">
        <f>(B47/$R$26)*100</f>
        <v>0</v>
      </c>
      <c r="K47" s="126">
        <f t="shared" ref="K47:N47" si="9">(C47/$R$26)*100</f>
        <v>0</v>
      </c>
      <c r="L47" s="126">
        <f t="shared" si="9"/>
        <v>0</v>
      </c>
      <c r="M47" s="126">
        <f t="shared" si="9"/>
        <v>0</v>
      </c>
      <c r="N47" s="127">
        <f t="shared" si="9"/>
        <v>0</v>
      </c>
      <c r="O47" s="116">
        <f t="shared" si="4"/>
        <v>0</v>
      </c>
      <c r="P47" s="29"/>
      <c r="Q47" s="29"/>
      <c r="S47" s="16"/>
    </row>
    <row r="48" spans="1:19" ht="15">
      <c r="A48" s="4" t="s">
        <v>62</v>
      </c>
      <c r="B48" s="104">
        <f>+AGOSTO!$B$67</f>
        <v>0</v>
      </c>
      <c r="C48" s="103">
        <f>+AGOSTO!$C$67</f>
        <v>0</v>
      </c>
      <c r="D48" s="103">
        <f>+AGOSTO!$D$67</f>
        <v>0</v>
      </c>
      <c r="E48" s="103">
        <f>+AGOSTO!$E$67</f>
        <v>0</v>
      </c>
      <c r="F48" s="105">
        <f>+AGOSTO!$F$67</f>
        <v>0</v>
      </c>
      <c r="G48" s="84">
        <f t="shared" si="2"/>
        <v>0</v>
      </c>
      <c r="I48" s="91" t="s">
        <v>62</v>
      </c>
      <c r="J48" s="125">
        <f>(B48/$R$27)*100</f>
        <v>0</v>
      </c>
      <c r="K48" s="126">
        <f t="shared" ref="K48:N48" si="10">(C48/$R$27)*100</f>
        <v>0</v>
      </c>
      <c r="L48" s="126">
        <f t="shared" si="10"/>
        <v>0</v>
      </c>
      <c r="M48" s="126">
        <f t="shared" si="10"/>
        <v>0</v>
      </c>
      <c r="N48" s="127">
        <f t="shared" si="10"/>
        <v>0</v>
      </c>
      <c r="O48" s="116">
        <f t="shared" si="4"/>
        <v>0</v>
      </c>
      <c r="P48" s="29"/>
      <c r="Q48" s="29"/>
      <c r="S48" s="16"/>
    </row>
    <row r="49" spans="1:19" ht="15">
      <c r="A49" s="4" t="s">
        <v>63</v>
      </c>
      <c r="B49" s="104">
        <f>+SEPTIEMBRE!$B$68</f>
        <v>0</v>
      </c>
      <c r="C49" s="103">
        <f>+SEPTIEMBRE!$C$68</f>
        <v>0</v>
      </c>
      <c r="D49" s="103">
        <f>+SEPTIEMBRE!$D$68</f>
        <v>0</v>
      </c>
      <c r="E49" s="103">
        <f>+SEPTIEMBRE!$E$68</f>
        <v>0</v>
      </c>
      <c r="F49" s="105">
        <f>+SEPTIEMBRE!$F$68</f>
        <v>0</v>
      </c>
      <c r="G49" s="84">
        <f t="shared" si="2"/>
        <v>0</v>
      </c>
      <c r="I49" s="91" t="s">
        <v>63</v>
      </c>
      <c r="J49" s="125">
        <f>(B49/$R$28)*100</f>
        <v>0</v>
      </c>
      <c r="K49" s="126">
        <f t="shared" ref="K49:N49" si="11">(C49/$R$28)*100</f>
        <v>0</v>
      </c>
      <c r="L49" s="126">
        <f t="shared" si="11"/>
        <v>0</v>
      </c>
      <c r="M49" s="126">
        <f t="shared" si="11"/>
        <v>0</v>
      </c>
      <c r="N49" s="127">
        <f t="shared" si="11"/>
        <v>0</v>
      </c>
      <c r="O49" s="116">
        <f t="shared" si="4"/>
        <v>0</v>
      </c>
      <c r="P49" s="29"/>
      <c r="Q49" s="29"/>
      <c r="S49" s="16"/>
    </row>
    <row r="50" spans="1:19" ht="15">
      <c r="A50" s="4" t="s">
        <v>64</v>
      </c>
      <c r="B50" s="104">
        <f>+OCTUBRE!$B$69</f>
        <v>0</v>
      </c>
      <c r="C50" s="103">
        <f>+OCTUBRE!$C$69</f>
        <v>0</v>
      </c>
      <c r="D50" s="103">
        <f>+OCTUBRE!$D$69</f>
        <v>0</v>
      </c>
      <c r="E50" s="103">
        <f>+OCTUBRE!$E$69</f>
        <v>0</v>
      </c>
      <c r="F50" s="103">
        <f>+OCTUBRE!$E$69</f>
        <v>0</v>
      </c>
      <c r="G50" s="84">
        <f t="shared" si="2"/>
        <v>0</v>
      </c>
      <c r="I50" s="91" t="s">
        <v>64</v>
      </c>
      <c r="J50" s="125">
        <f>(B50/$R$29)*100</f>
        <v>0</v>
      </c>
      <c r="K50" s="126">
        <f t="shared" ref="K50:N50" si="12">(C50/$R$29)*100</f>
        <v>0</v>
      </c>
      <c r="L50" s="126">
        <f t="shared" si="12"/>
        <v>0</v>
      </c>
      <c r="M50" s="126">
        <f t="shared" si="12"/>
        <v>0</v>
      </c>
      <c r="N50" s="127">
        <f t="shared" si="12"/>
        <v>0</v>
      </c>
      <c r="O50" s="116">
        <f t="shared" si="4"/>
        <v>0</v>
      </c>
      <c r="P50" s="29"/>
      <c r="Q50" s="29"/>
      <c r="S50" s="16"/>
    </row>
    <row r="51" spans="1:19" ht="15">
      <c r="A51" s="4" t="s">
        <v>65</v>
      </c>
      <c r="B51" s="104">
        <f>+NOVIEMBRE!$B$70</f>
        <v>0</v>
      </c>
      <c r="C51" s="103">
        <f>+NOVIEMBRE!$C$70</f>
        <v>0</v>
      </c>
      <c r="D51" s="103">
        <f>+NOVIEMBRE!$D$70</f>
        <v>0</v>
      </c>
      <c r="E51" s="103">
        <f>+NOVIEMBRE!$E$70</f>
        <v>0</v>
      </c>
      <c r="F51" s="105">
        <f>+NOVIEMBRE!$F$70</f>
        <v>0</v>
      </c>
      <c r="G51" s="84">
        <f t="shared" si="2"/>
        <v>0</v>
      </c>
      <c r="I51" s="91" t="s">
        <v>65</v>
      </c>
      <c r="J51" s="125">
        <f>(B51/$R$30)*100</f>
        <v>0</v>
      </c>
      <c r="K51" s="126">
        <f t="shared" ref="K51:N51" si="13">(C51/$R$30)*100</f>
        <v>0</v>
      </c>
      <c r="L51" s="126">
        <f t="shared" si="13"/>
        <v>0</v>
      </c>
      <c r="M51" s="126">
        <f t="shared" si="13"/>
        <v>0</v>
      </c>
      <c r="N51" s="127">
        <f t="shared" si="13"/>
        <v>0</v>
      </c>
      <c r="O51" s="116">
        <f t="shared" si="4"/>
        <v>0</v>
      </c>
      <c r="P51" s="29"/>
      <c r="Q51" s="29"/>
      <c r="S51" s="16"/>
    </row>
    <row r="52" spans="1:19" ht="15.75" thickBot="1">
      <c r="A52" s="46" t="s">
        <v>66</v>
      </c>
      <c r="B52" s="106">
        <f>+DICIEMBRE!$B$71</f>
        <v>0</v>
      </c>
      <c r="C52" s="107">
        <f>+DICIEMBRE!$C$71</f>
        <v>0</v>
      </c>
      <c r="D52" s="107">
        <f>+DICIEMBRE!$D$71</f>
        <v>0</v>
      </c>
      <c r="E52" s="107">
        <f>+DICIEMBRE!$E$71</f>
        <v>0</v>
      </c>
      <c r="F52" s="108">
        <f>+DICIEMBRE!$F$71</f>
        <v>0</v>
      </c>
      <c r="G52" s="96">
        <f t="shared" si="2"/>
        <v>0</v>
      </c>
      <c r="I52" s="115" t="s">
        <v>66</v>
      </c>
      <c r="J52" s="128">
        <f>(B52/$R$31)*100</f>
        <v>0</v>
      </c>
      <c r="K52" s="129">
        <f t="shared" ref="K52:N52" si="14">(C52/$R$31)*100</f>
        <v>0</v>
      </c>
      <c r="L52" s="129">
        <f t="shared" si="14"/>
        <v>0</v>
      </c>
      <c r="M52" s="129">
        <f t="shared" si="14"/>
        <v>0</v>
      </c>
      <c r="N52" s="130">
        <f t="shared" si="14"/>
        <v>0</v>
      </c>
      <c r="O52" s="121">
        <f t="shared" si="4"/>
        <v>0</v>
      </c>
      <c r="P52" s="29"/>
      <c r="Q52" s="29"/>
      <c r="S52" s="16"/>
    </row>
    <row r="53" spans="1:19">
      <c r="A53" s="14"/>
      <c r="S53" s="16"/>
    </row>
    <row r="54" spans="1:19">
      <c r="A54" s="14"/>
      <c r="S54" s="16"/>
    </row>
    <row r="55" spans="1:19" ht="15">
      <c r="A55" s="14"/>
      <c r="I55" s="50" t="s">
        <v>51</v>
      </c>
      <c r="J55" s="50"/>
      <c r="S55" s="16"/>
    </row>
    <row r="56" spans="1:19" ht="15">
      <c r="A56" s="14"/>
      <c r="I56" s="50" t="s">
        <v>52</v>
      </c>
      <c r="J56" s="50"/>
      <c r="S56" s="16"/>
    </row>
    <row r="57" spans="1:19" ht="15">
      <c r="A57" s="14"/>
      <c r="I57" s="50" t="s">
        <v>53</v>
      </c>
      <c r="J57" s="50"/>
      <c r="S57" s="16"/>
    </row>
    <row r="58" spans="1:19" ht="15.75" thickBot="1">
      <c r="A58" s="51"/>
      <c r="B58" s="52"/>
      <c r="C58" s="52"/>
      <c r="D58" s="52"/>
      <c r="E58" s="52"/>
      <c r="F58" s="52"/>
      <c r="G58" s="52"/>
      <c r="H58" s="52"/>
      <c r="I58" s="53" t="s">
        <v>54</v>
      </c>
      <c r="J58" s="53"/>
      <c r="K58" s="52"/>
      <c r="L58" s="52"/>
      <c r="M58" s="52"/>
      <c r="N58" s="52"/>
      <c r="O58" s="52"/>
      <c r="P58" s="52"/>
      <c r="Q58" s="52"/>
      <c r="R58" s="52"/>
      <c r="S58" s="54"/>
    </row>
  </sheetData>
  <sheetProtection algorithmName="SHA-512" hashValue="xd9sNpdjcrw/9NUt9vZ2aQ60ssc/JZxSCYN37hqji+0WhgDFL5EhY7LCK+yhaK38LXL5e7qVa7wiNCMIPU/hSg==" saltValue="rrP/LbaWw8mw4Bcl2VJCTw==" spinCount="100000" sheet="1" objects="1" scenarios="1"/>
  <mergeCells count="41">
    <mergeCell ref="A35:O37"/>
    <mergeCell ref="J38:O38"/>
    <mergeCell ref="B39:F39"/>
    <mergeCell ref="G39:G40"/>
    <mergeCell ref="I39:I40"/>
    <mergeCell ref="K39:N39"/>
    <mergeCell ref="O39:O40"/>
    <mergeCell ref="A14:R15"/>
    <mergeCell ref="A17:A19"/>
    <mergeCell ref="B17:D18"/>
    <mergeCell ref="E17:E19"/>
    <mergeCell ref="F17:P17"/>
    <mergeCell ref="Q17:Q19"/>
    <mergeCell ref="R17:R19"/>
    <mergeCell ref="F18:I18"/>
    <mergeCell ref="J18:J19"/>
    <mergeCell ref="K18:O18"/>
    <mergeCell ref="P18:P19"/>
    <mergeCell ref="A10:C10"/>
    <mergeCell ref="D10:J10"/>
    <mergeCell ref="K10:M10"/>
    <mergeCell ref="N10:S10"/>
    <mergeCell ref="A11:C11"/>
    <mergeCell ref="D11:J11"/>
    <mergeCell ref="K11:M11"/>
    <mergeCell ref="N11:S11"/>
    <mergeCell ref="A8:C8"/>
    <mergeCell ref="D8:J8"/>
    <mergeCell ref="K8:M8"/>
    <mergeCell ref="N8:S8"/>
    <mergeCell ref="A9:C9"/>
    <mergeCell ref="D9:J9"/>
    <mergeCell ref="K9:M9"/>
    <mergeCell ref="N9:S9"/>
    <mergeCell ref="A1:C6"/>
    <mergeCell ref="D1:P6"/>
    <mergeCell ref="Q1:S6"/>
    <mergeCell ref="A7:C7"/>
    <mergeCell ref="D7:J7"/>
    <mergeCell ref="K7:M7"/>
    <mergeCell ref="N7:S7"/>
  </mergeCells>
  <conditionalFormatting sqref="G52">
    <cfRule type="cellIs" dxfId="12" priority="14" operator="notEqual">
      <formula>$R$31</formula>
    </cfRule>
  </conditionalFormatting>
  <conditionalFormatting sqref="O41:O52">
    <cfRule type="cellIs" dxfId="11" priority="12" operator="notEqual">
      <formula>100%</formula>
    </cfRule>
  </conditionalFormatting>
  <conditionalFormatting sqref="G42">
    <cfRule type="cellIs" dxfId="10" priority="1" operator="notEqual">
      <formula>$R$21</formula>
    </cfRule>
  </conditionalFormatting>
  <conditionalFormatting sqref="G43">
    <cfRule type="cellIs" dxfId="9" priority="2" operator="notEqual">
      <formula>$R$22</formula>
    </cfRule>
  </conditionalFormatting>
  <conditionalFormatting sqref="G44">
    <cfRule type="cellIs" dxfId="8" priority="3" operator="notEqual">
      <formula>$R$23</formula>
    </cfRule>
  </conditionalFormatting>
  <conditionalFormatting sqref="G41">
    <cfRule type="cellIs" dxfId="7" priority="5" operator="notEqual">
      <formula>$R$20</formula>
    </cfRule>
  </conditionalFormatting>
  <conditionalFormatting sqref="G45">
    <cfRule type="cellIs" dxfId="6" priority="4" operator="notEqual">
      <formula>$R$24</formula>
    </cfRule>
  </conditionalFormatting>
  <conditionalFormatting sqref="G46">
    <cfRule type="cellIs" dxfId="5" priority="6" operator="notEqual">
      <formula>$R$25</formula>
    </cfRule>
  </conditionalFormatting>
  <conditionalFormatting sqref="G47">
    <cfRule type="cellIs" dxfId="4" priority="7" operator="notEqual">
      <formula>$R$26</formula>
    </cfRule>
  </conditionalFormatting>
  <conditionalFormatting sqref="G48">
    <cfRule type="cellIs" dxfId="3" priority="8" operator="notEqual">
      <formula>$R$27</formula>
    </cfRule>
  </conditionalFormatting>
  <conditionalFormatting sqref="G49">
    <cfRule type="cellIs" dxfId="2" priority="9" operator="notEqual">
      <formula>$R$28</formula>
    </cfRule>
  </conditionalFormatting>
  <conditionalFormatting sqref="G50">
    <cfRule type="cellIs" dxfId="1" priority="10" operator="notEqual">
      <formula>$R$29</formula>
    </cfRule>
  </conditionalFormatting>
  <conditionalFormatting sqref="G51">
    <cfRule type="cellIs" dxfId="0" priority="11" operator="notEqual">
      <formula>$R$30</formula>
    </cfRule>
  </conditionalFormatting>
  <pageMargins left="0.7" right="0.7" top="0.75" bottom="0.75" header="0.3" footer="0.3"/>
  <pageSetup orientation="portrait" horizontalDpi="4294967293" vertic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A210-5F1D-4EC4-A96D-5320F7430A2B}">
  <dimension ref="A1:E41"/>
  <sheetViews>
    <sheetView workbookViewId="0">
      <pane xSplit="1" ySplit="5" topLeftCell="B38" activePane="bottomRight" state="frozen"/>
      <selection pane="bottomRight" activeCell="C1" sqref="C1:E1"/>
      <selection pane="bottomLeft" activeCell="A6" sqref="A6"/>
      <selection pane="topRight" activeCell="B1" sqref="B1"/>
    </sheetView>
  </sheetViews>
  <sheetFormatPr defaultColWidth="11.42578125" defaultRowHeight="15"/>
  <cols>
    <col min="1" max="1" width="15.5703125" style="29" customWidth="1"/>
    <col min="2" max="2" width="13.140625" style="29" customWidth="1"/>
    <col min="3" max="3" width="20.42578125" style="29" customWidth="1"/>
    <col min="4" max="4" width="28" style="29" customWidth="1"/>
    <col min="5" max="5" width="75" style="29" customWidth="1"/>
    <col min="6" max="16384" width="11.42578125" style="29"/>
  </cols>
  <sheetData>
    <row r="1" spans="1:5" ht="55.5" customHeight="1" thickBot="1">
      <c r="A1" s="204"/>
      <c r="B1" s="204"/>
      <c r="C1" s="203" t="s">
        <v>69</v>
      </c>
      <c r="D1" s="203"/>
      <c r="E1" s="203"/>
    </row>
    <row r="2" spans="1:5">
      <c r="A2" s="205" t="s">
        <v>70</v>
      </c>
      <c r="B2" s="206"/>
      <c r="C2" s="206"/>
      <c r="D2" s="206"/>
      <c r="E2" s="207"/>
    </row>
    <row r="3" spans="1:5" ht="15.75" thickBot="1">
      <c r="A3" s="208" t="s">
        <v>71</v>
      </c>
      <c r="B3" s="209"/>
      <c r="C3" s="209"/>
      <c r="D3" s="209"/>
      <c r="E3" s="210"/>
    </row>
    <row r="4" spans="1:5" s="68" customFormat="1" ht="15.75" thickBot="1">
      <c r="A4" s="29"/>
      <c r="B4" s="29"/>
      <c r="C4" s="29"/>
      <c r="D4" s="29"/>
      <c r="E4" s="29"/>
    </row>
    <row r="5" spans="1:5" ht="15.75" thickBot="1">
      <c r="A5" s="69" t="s">
        <v>72</v>
      </c>
      <c r="B5" s="70" t="s">
        <v>73</v>
      </c>
      <c r="C5" s="70"/>
      <c r="D5" s="70" t="s">
        <v>74</v>
      </c>
      <c r="E5" s="71" t="s">
        <v>75</v>
      </c>
    </row>
    <row r="6" spans="1:5">
      <c r="A6" s="211" t="s">
        <v>76</v>
      </c>
      <c r="B6" s="72">
        <v>1</v>
      </c>
      <c r="C6" s="213" t="s">
        <v>77</v>
      </c>
      <c r="D6" s="213"/>
      <c r="E6" s="73" t="s">
        <v>78</v>
      </c>
    </row>
    <row r="7" spans="1:5">
      <c r="A7" s="212"/>
      <c r="B7" s="74">
        <v>2</v>
      </c>
      <c r="C7" s="214" t="s">
        <v>79</v>
      </c>
      <c r="D7" s="214"/>
      <c r="E7" s="75" t="s">
        <v>80</v>
      </c>
    </row>
    <row r="8" spans="1:5">
      <c r="A8" s="212"/>
      <c r="B8" s="74">
        <v>3</v>
      </c>
      <c r="C8" s="214" t="s">
        <v>81</v>
      </c>
      <c r="D8" s="214"/>
      <c r="E8" s="75" t="s">
        <v>82</v>
      </c>
    </row>
    <row r="9" spans="1:5">
      <c r="A9" s="212"/>
      <c r="B9" s="74">
        <v>4</v>
      </c>
      <c r="C9" s="214" t="s">
        <v>83</v>
      </c>
      <c r="D9" s="214"/>
      <c r="E9" s="75" t="s">
        <v>84</v>
      </c>
    </row>
    <row r="10" spans="1:5">
      <c r="A10" s="212"/>
      <c r="B10" s="74">
        <v>5</v>
      </c>
      <c r="C10" s="214" t="s">
        <v>85</v>
      </c>
      <c r="D10" s="214"/>
      <c r="E10" s="75" t="s">
        <v>86</v>
      </c>
    </row>
    <row r="11" spans="1:5">
      <c r="A11" s="212"/>
      <c r="B11" s="74">
        <v>6</v>
      </c>
      <c r="C11" s="214" t="s">
        <v>87</v>
      </c>
      <c r="D11" s="214"/>
      <c r="E11" s="75" t="s">
        <v>88</v>
      </c>
    </row>
    <row r="12" spans="1:5">
      <c r="A12" s="212"/>
      <c r="B12" s="74">
        <v>7</v>
      </c>
      <c r="C12" s="214" t="s">
        <v>89</v>
      </c>
      <c r="D12" s="214"/>
      <c r="E12" s="75" t="s">
        <v>90</v>
      </c>
    </row>
    <row r="13" spans="1:5">
      <c r="A13" s="212"/>
      <c r="B13" s="74">
        <v>8</v>
      </c>
      <c r="C13" s="214" t="s">
        <v>91</v>
      </c>
      <c r="D13" s="214"/>
      <c r="E13" s="75" t="s">
        <v>92</v>
      </c>
    </row>
    <row r="14" spans="1:5">
      <c r="A14" s="212"/>
      <c r="B14" s="74">
        <v>9</v>
      </c>
      <c r="C14" s="214" t="s">
        <v>93</v>
      </c>
      <c r="D14" s="214"/>
      <c r="E14" s="75" t="s">
        <v>94</v>
      </c>
    </row>
    <row r="15" spans="1:5" ht="43.5">
      <c r="A15" s="217" t="s">
        <v>95</v>
      </c>
      <c r="B15" s="76">
        <v>10</v>
      </c>
      <c r="C15" s="219" t="s">
        <v>96</v>
      </c>
      <c r="D15" s="77" t="s">
        <v>97</v>
      </c>
      <c r="E15" s="78" t="s">
        <v>98</v>
      </c>
    </row>
    <row r="16" spans="1:5" ht="29.25">
      <c r="A16" s="217"/>
      <c r="B16" s="76">
        <v>11</v>
      </c>
      <c r="C16" s="220"/>
      <c r="D16" s="79" t="s">
        <v>99</v>
      </c>
      <c r="E16" s="78" t="s">
        <v>100</v>
      </c>
    </row>
    <row r="17" spans="1:5" ht="29.25">
      <c r="A17" s="217"/>
      <c r="B17" s="76">
        <v>12</v>
      </c>
      <c r="C17" s="220"/>
      <c r="D17" s="79" t="s">
        <v>101</v>
      </c>
      <c r="E17" s="78" t="s">
        <v>102</v>
      </c>
    </row>
    <row r="18" spans="1:5" ht="29.25">
      <c r="A18" s="217"/>
      <c r="B18" s="76">
        <v>13</v>
      </c>
      <c r="C18" s="221"/>
      <c r="D18" s="77" t="s">
        <v>14</v>
      </c>
      <c r="E18" s="78" t="s">
        <v>103</v>
      </c>
    </row>
    <row r="19" spans="1:5" ht="29.25">
      <c r="A19" s="217"/>
      <c r="B19" s="76">
        <v>14</v>
      </c>
      <c r="C19" s="219" t="s">
        <v>104</v>
      </c>
      <c r="D19" s="79" t="s">
        <v>105</v>
      </c>
      <c r="E19" s="78" t="s">
        <v>106</v>
      </c>
    </row>
    <row r="20" spans="1:5" ht="29.25">
      <c r="A20" s="217"/>
      <c r="B20" s="76">
        <v>15</v>
      </c>
      <c r="C20" s="220"/>
      <c r="D20" s="79" t="s">
        <v>107</v>
      </c>
      <c r="E20" s="78" t="s">
        <v>108</v>
      </c>
    </row>
    <row r="21" spans="1:5" ht="29.25">
      <c r="A21" s="217"/>
      <c r="B21" s="76">
        <v>16</v>
      </c>
      <c r="C21" s="220"/>
      <c r="D21" s="79" t="s">
        <v>109</v>
      </c>
      <c r="E21" s="78" t="s">
        <v>106</v>
      </c>
    </row>
    <row r="22" spans="1:5" ht="29.25">
      <c r="A22" s="217"/>
      <c r="B22" s="76">
        <v>17</v>
      </c>
      <c r="C22" s="220"/>
      <c r="D22" s="79" t="s">
        <v>110</v>
      </c>
      <c r="E22" s="78" t="s">
        <v>106</v>
      </c>
    </row>
    <row r="23" spans="1:5" ht="29.25">
      <c r="A23" s="217"/>
      <c r="B23" s="76">
        <v>18</v>
      </c>
      <c r="C23" s="221"/>
      <c r="D23" s="77" t="s">
        <v>19</v>
      </c>
      <c r="E23" s="78" t="s">
        <v>111</v>
      </c>
    </row>
    <row r="24" spans="1:5" ht="43.5" customHeight="1">
      <c r="A24" s="217"/>
      <c r="B24" s="76">
        <v>19</v>
      </c>
      <c r="C24" s="219" t="s">
        <v>112</v>
      </c>
      <c r="D24" s="79" t="s">
        <v>113</v>
      </c>
      <c r="E24" s="78" t="s">
        <v>114</v>
      </c>
    </row>
    <row r="25" spans="1:5" ht="29.25">
      <c r="A25" s="217"/>
      <c r="B25" s="76">
        <v>20</v>
      </c>
      <c r="C25" s="220"/>
      <c r="D25" s="79" t="s">
        <v>115</v>
      </c>
      <c r="E25" s="78" t="s">
        <v>116</v>
      </c>
    </row>
    <row r="26" spans="1:5" ht="29.25">
      <c r="A26" s="217"/>
      <c r="B26" s="76">
        <v>21</v>
      </c>
      <c r="C26" s="220"/>
      <c r="D26" s="79" t="s">
        <v>117</v>
      </c>
      <c r="E26" s="78" t="s">
        <v>118</v>
      </c>
    </row>
    <row r="27" spans="1:5" ht="29.25">
      <c r="A27" s="217"/>
      <c r="B27" s="76">
        <v>22</v>
      </c>
      <c r="C27" s="220"/>
      <c r="D27" s="79" t="s">
        <v>119</v>
      </c>
      <c r="E27" s="78" t="s">
        <v>120</v>
      </c>
    </row>
    <row r="28" spans="1:5" ht="29.25">
      <c r="A28" s="217"/>
      <c r="B28" s="76">
        <v>23</v>
      </c>
      <c r="C28" s="220"/>
      <c r="D28" s="79" t="s">
        <v>121</v>
      </c>
      <c r="E28" s="78" t="s">
        <v>122</v>
      </c>
    </row>
    <row r="29" spans="1:5" ht="29.25">
      <c r="A29" s="217"/>
      <c r="B29" s="76">
        <v>24</v>
      </c>
      <c r="C29" s="220"/>
      <c r="D29" s="79" t="s">
        <v>21</v>
      </c>
      <c r="E29" s="78" t="s">
        <v>123</v>
      </c>
    </row>
    <row r="30" spans="1:5" ht="29.25">
      <c r="A30" s="217"/>
      <c r="B30" s="76">
        <v>25</v>
      </c>
      <c r="C30" s="221"/>
      <c r="D30" s="79" t="s">
        <v>16</v>
      </c>
      <c r="E30" s="78" t="s">
        <v>124</v>
      </c>
    </row>
    <row r="31" spans="1:5" ht="43.5">
      <c r="A31" s="217"/>
      <c r="B31" s="76">
        <v>26</v>
      </c>
      <c r="C31" s="218" t="s">
        <v>125</v>
      </c>
      <c r="D31" s="218"/>
      <c r="E31" s="78" t="s">
        <v>126</v>
      </c>
    </row>
    <row r="32" spans="1:5">
      <c r="A32" s="212" t="s">
        <v>127</v>
      </c>
      <c r="B32" s="74">
        <v>27</v>
      </c>
      <c r="C32" s="216" t="s">
        <v>128</v>
      </c>
      <c r="D32" s="80" t="s">
        <v>129</v>
      </c>
      <c r="E32" s="75" t="s">
        <v>130</v>
      </c>
    </row>
    <row r="33" spans="1:5">
      <c r="A33" s="212"/>
      <c r="B33" s="74">
        <v>28</v>
      </c>
      <c r="C33" s="216"/>
      <c r="D33" s="80" t="s">
        <v>131</v>
      </c>
      <c r="E33" s="75" t="s">
        <v>132</v>
      </c>
    </row>
    <row r="34" spans="1:5">
      <c r="A34" s="212"/>
      <c r="B34" s="74">
        <v>29</v>
      </c>
      <c r="C34" s="216"/>
      <c r="D34" s="80" t="s">
        <v>133</v>
      </c>
      <c r="E34" s="75" t="s">
        <v>134</v>
      </c>
    </row>
    <row r="35" spans="1:5">
      <c r="A35" s="212"/>
      <c r="B35" s="74">
        <v>30</v>
      </c>
      <c r="C35" s="216"/>
      <c r="D35" s="80" t="s">
        <v>135</v>
      </c>
      <c r="E35" s="75" t="s">
        <v>136</v>
      </c>
    </row>
    <row r="36" spans="1:5" ht="29.25">
      <c r="A36" s="212"/>
      <c r="B36" s="74"/>
      <c r="C36" s="216"/>
      <c r="D36" s="81" t="s">
        <v>137</v>
      </c>
      <c r="E36" s="75" t="s">
        <v>138</v>
      </c>
    </row>
    <row r="37" spans="1:5" ht="100.5">
      <c r="A37" s="212"/>
      <c r="B37" s="74">
        <v>31</v>
      </c>
      <c r="C37" s="216"/>
      <c r="D37" s="82" t="s">
        <v>125</v>
      </c>
      <c r="E37" s="75" t="s">
        <v>139</v>
      </c>
    </row>
    <row r="38" spans="1:5" ht="86.25">
      <c r="A38" s="212"/>
      <c r="B38" s="74">
        <v>28</v>
      </c>
      <c r="C38" s="216" t="s">
        <v>127</v>
      </c>
      <c r="D38" s="216"/>
      <c r="E38" s="75" t="s">
        <v>140</v>
      </c>
    </row>
    <row r="39" spans="1:5">
      <c r="A39" s="83"/>
    </row>
    <row r="40" spans="1:5">
      <c r="B40" s="29" t="s">
        <v>141</v>
      </c>
    </row>
    <row r="41" spans="1:5">
      <c r="B41" s="215"/>
      <c r="C41" s="215"/>
      <c r="D41" s="215"/>
      <c r="E41" s="215"/>
    </row>
  </sheetData>
  <mergeCells count="23">
    <mergeCell ref="B41:E41"/>
    <mergeCell ref="A32:A38"/>
    <mergeCell ref="C32:C37"/>
    <mergeCell ref="C38:D38"/>
    <mergeCell ref="A15:A31"/>
    <mergeCell ref="C31:D31"/>
    <mergeCell ref="C15:C18"/>
    <mergeCell ref="C19:C23"/>
    <mergeCell ref="C24:C30"/>
    <mergeCell ref="C1:E1"/>
    <mergeCell ref="A1:B1"/>
    <mergeCell ref="A2:E2"/>
    <mergeCell ref="A3:E3"/>
    <mergeCell ref="A6:A14"/>
    <mergeCell ref="C6:D6"/>
    <mergeCell ref="C7:D7"/>
    <mergeCell ref="C8:D8"/>
    <mergeCell ref="C9:D9"/>
    <mergeCell ref="C10:D10"/>
    <mergeCell ref="C11:D11"/>
    <mergeCell ref="C12:D12"/>
    <mergeCell ref="C13:D13"/>
    <mergeCell ref="C14:D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JIMENA</dc:creator>
  <cp:keywords/>
  <dc:description/>
  <cp:lastModifiedBy>Luis Gabriel Ruiz Palmera</cp:lastModifiedBy>
  <cp:revision/>
  <dcterms:created xsi:type="dcterms:W3CDTF">2014-05-18T16:33:38Z</dcterms:created>
  <dcterms:modified xsi:type="dcterms:W3CDTF">2026-01-30T15:22:33Z</dcterms:modified>
  <cp:category/>
  <cp:contentStatus/>
</cp:coreProperties>
</file>