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CUNACION\Desktop\"/>
    </mc:Choice>
  </mc:AlternateContent>
  <xr:revisionPtr revIDLastSave="0" documentId="13_ncr:1_{7A9BC7DF-9BC6-4973-9459-8AF758C53230}" xr6:coauthVersionLast="47" xr6:coauthVersionMax="47" xr10:uidLastSave="{00000000-0000-0000-0000-000000000000}"/>
  <bookViews>
    <workbookView xWindow="-120" yWindow="-120" windowWidth="20730" windowHeight="11160" firstSheet="3" activeTab="11" xr2:uid="{9721926D-75A5-4225-BD4D-3F584153F27D}"/>
  </bookViews>
  <sheets>
    <sheet name="Instructivo" sheetId="15" r:id="rId1"/>
    <sheet name="Enero" sheetId="2" r:id="rId2"/>
    <sheet name="Febrero" sheetId="3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  <sheet name="Septiembre" sheetId="10" r:id="rId10"/>
    <sheet name="Octubre" sheetId="11" r:id="rId11"/>
    <sheet name="Noviembre" sheetId="12" r:id="rId12"/>
    <sheet name="Diciembre" sheetId="13" r:id="rId13"/>
    <sheet name="Consolidado" sheetId="14" r:id="rId1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10" l="1"/>
  <c r="B62" i="4"/>
  <c r="G64" i="4"/>
  <c r="G62" i="2" l="1"/>
  <c r="G63" i="3"/>
  <c r="G73" i="13"/>
  <c r="E63" i="4"/>
  <c r="D62" i="3"/>
  <c r="C54" i="14"/>
  <c r="D54" i="14"/>
  <c r="E54" i="14"/>
  <c r="F54" i="14"/>
  <c r="B54" i="14"/>
  <c r="F53" i="14"/>
  <c r="E53" i="14"/>
  <c r="D53" i="14"/>
  <c r="C53" i="14"/>
  <c r="B53" i="14"/>
  <c r="F52" i="14"/>
  <c r="E52" i="14"/>
  <c r="D52" i="14"/>
  <c r="C52" i="14"/>
  <c r="B52" i="14"/>
  <c r="F51" i="14"/>
  <c r="E51" i="14"/>
  <c r="D51" i="14"/>
  <c r="C51" i="14"/>
  <c r="B51" i="14"/>
  <c r="F50" i="14"/>
  <c r="E50" i="14"/>
  <c r="D50" i="14"/>
  <c r="C50" i="14"/>
  <c r="B50" i="14"/>
  <c r="F49" i="14"/>
  <c r="E49" i="14"/>
  <c r="D49" i="14"/>
  <c r="C49" i="14"/>
  <c r="B49" i="14"/>
  <c r="F48" i="14"/>
  <c r="E48" i="14"/>
  <c r="D48" i="14"/>
  <c r="C48" i="14"/>
  <c r="B48" i="14"/>
  <c r="F47" i="14"/>
  <c r="E47" i="14"/>
  <c r="D47" i="14"/>
  <c r="C47" i="14"/>
  <c r="B47" i="14"/>
  <c r="F46" i="14"/>
  <c r="E46" i="14"/>
  <c r="D46" i="14"/>
  <c r="C46" i="14"/>
  <c r="B46" i="14"/>
  <c r="F45" i="14"/>
  <c r="E45" i="14"/>
  <c r="D45" i="14"/>
  <c r="C45" i="14"/>
  <c r="B45" i="14"/>
  <c r="F44" i="14"/>
  <c r="E44" i="14"/>
  <c r="D44" i="14"/>
  <c r="C44" i="14"/>
  <c r="B44" i="14"/>
  <c r="F43" i="14"/>
  <c r="E43" i="14"/>
  <c r="D43" i="14"/>
  <c r="C43" i="14"/>
  <c r="B43" i="14"/>
  <c r="G54" i="14" l="1"/>
  <c r="G51" i="14"/>
  <c r="G53" i="14"/>
  <c r="G43" i="14"/>
  <c r="G45" i="14"/>
  <c r="G47" i="14"/>
  <c r="G49" i="14"/>
  <c r="G44" i="14"/>
  <c r="G46" i="14"/>
  <c r="G48" i="14"/>
  <c r="G50" i="14"/>
  <c r="G52" i="14"/>
  <c r="C72" i="13" l="1"/>
  <c r="D72" i="13"/>
  <c r="E72" i="13"/>
  <c r="F72" i="13"/>
  <c r="B72" i="13"/>
  <c r="F71" i="13"/>
  <c r="E71" i="13"/>
  <c r="D71" i="13"/>
  <c r="C71" i="13"/>
  <c r="B71" i="13"/>
  <c r="F70" i="13"/>
  <c r="E70" i="13"/>
  <c r="D70" i="13"/>
  <c r="C70" i="13"/>
  <c r="B70" i="13"/>
  <c r="F69" i="13"/>
  <c r="E69" i="13"/>
  <c r="D69" i="13"/>
  <c r="C69" i="13"/>
  <c r="B69" i="13"/>
  <c r="F68" i="13"/>
  <c r="E68" i="13"/>
  <c r="D68" i="13"/>
  <c r="C68" i="13"/>
  <c r="B68" i="13"/>
  <c r="F67" i="13"/>
  <c r="E67" i="13"/>
  <c r="D67" i="13"/>
  <c r="C67" i="13"/>
  <c r="B67" i="13"/>
  <c r="F66" i="13"/>
  <c r="E66" i="13"/>
  <c r="D66" i="13"/>
  <c r="C66" i="13"/>
  <c r="B66" i="13"/>
  <c r="F65" i="13"/>
  <c r="E65" i="13"/>
  <c r="D65" i="13"/>
  <c r="C65" i="13"/>
  <c r="B65" i="13"/>
  <c r="F64" i="13"/>
  <c r="E64" i="13"/>
  <c r="D64" i="13"/>
  <c r="C64" i="13"/>
  <c r="B64" i="13"/>
  <c r="F63" i="13"/>
  <c r="E63" i="13"/>
  <c r="D63" i="13"/>
  <c r="C63" i="13"/>
  <c r="B63" i="13"/>
  <c r="F62" i="13"/>
  <c r="E62" i="13"/>
  <c r="D62" i="13"/>
  <c r="C62" i="13"/>
  <c r="B62" i="13"/>
  <c r="O53" i="13"/>
  <c r="O33" i="14" s="1"/>
  <c r="N53" i="13"/>
  <c r="N33" i="14" s="1"/>
  <c r="M53" i="13"/>
  <c r="M33" i="14" s="1"/>
  <c r="L53" i="13"/>
  <c r="L33" i="14" s="1"/>
  <c r="K53" i="13"/>
  <c r="K33" i="14" s="1"/>
  <c r="I53" i="13"/>
  <c r="I33" i="14" s="1"/>
  <c r="H53" i="13"/>
  <c r="H33" i="14" s="1"/>
  <c r="G53" i="13"/>
  <c r="G33" i="14" s="1"/>
  <c r="F53" i="13"/>
  <c r="F33" i="14" s="1"/>
  <c r="J33" i="14" s="1"/>
  <c r="D53" i="13"/>
  <c r="D33" i="14" s="1"/>
  <c r="C53" i="13"/>
  <c r="C33" i="14" s="1"/>
  <c r="B53" i="13"/>
  <c r="B33" i="14" s="1"/>
  <c r="P52" i="13"/>
  <c r="J52" i="13"/>
  <c r="E52" i="13"/>
  <c r="P51" i="13"/>
  <c r="J51" i="13"/>
  <c r="E51" i="13"/>
  <c r="P50" i="13"/>
  <c r="J50" i="13"/>
  <c r="E50" i="13"/>
  <c r="P49" i="13"/>
  <c r="J49" i="13"/>
  <c r="E49" i="13"/>
  <c r="P48" i="13"/>
  <c r="J48" i="13"/>
  <c r="E48" i="13"/>
  <c r="P47" i="13"/>
  <c r="J47" i="13"/>
  <c r="Q47" i="13" s="1"/>
  <c r="E47" i="13"/>
  <c r="P46" i="13"/>
  <c r="J46" i="13"/>
  <c r="E46" i="13"/>
  <c r="P45" i="13"/>
  <c r="J45" i="13"/>
  <c r="E45" i="13"/>
  <c r="P44" i="13"/>
  <c r="J44" i="13"/>
  <c r="E44" i="13"/>
  <c r="P43" i="13"/>
  <c r="J43" i="13"/>
  <c r="E43" i="13"/>
  <c r="P42" i="13"/>
  <c r="J42" i="13"/>
  <c r="E42" i="13"/>
  <c r="P41" i="13"/>
  <c r="J41" i="13"/>
  <c r="E41" i="13"/>
  <c r="P40" i="13"/>
  <c r="J40" i="13"/>
  <c r="E40" i="13"/>
  <c r="P39" i="13"/>
  <c r="J39" i="13"/>
  <c r="Q39" i="13" s="1"/>
  <c r="E39" i="13"/>
  <c r="P38" i="13"/>
  <c r="J38" i="13"/>
  <c r="E38" i="13"/>
  <c r="P37" i="13"/>
  <c r="J37" i="13"/>
  <c r="E37" i="13"/>
  <c r="P36" i="13"/>
  <c r="J36" i="13"/>
  <c r="E36" i="13"/>
  <c r="P35" i="13"/>
  <c r="J35" i="13"/>
  <c r="E35" i="13"/>
  <c r="P34" i="13"/>
  <c r="J34" i="13"/>
  <c r="E34" i="13"/>
  <c r="P33" i="13"/>
  <c r="J33" i="13"/>
  <c r="E33" i="13"/>
  <c r="P32" i="13"/>
  <c r="J32" i="13"/>
  <c r="E32" i="13"/>
  <c r="P31" i="13"/>
  <c r="J31" i="13"/>
  <c r="Q31" i="13" s="1"/>
  <c r="E31" i="13"/>
  <c r="P30" i="13"/>
  <c r="J30" i="13"/>
  <c r="E30" i="13"/>
  <c r="P29" i="13"/>
  <c r="J29" i="13"/>
  <c r="E29" i="13"/>
  <c r="P28" i="13"/>
  <c r="J28" i="13"/>
  <c r="E28" i="13"/>
  <c r="P27" i="13"/>
  <c r="J27" i="13"/>
  <c r="E27" i="13"/>
  <c r="P26" i="13"/>
  <c r="J26" i="13"/>
  <c r="E26" i="13"/>
  <c r="P25" i="13"/>
  <c r="J25" i="13"/>
  <c r="E25" i="13"/>
  <c r="P24" i="13"/>
  <c r="J24" i="13"/>
  <c r="E24" i="13"/>
  <c r="P23" i="13"/>
  <c r="J23" i="13"/>
  <c r="Q23" i="13" s="1"/>
  <c r="E23" i="13"/>
  <c r="P22" i="13"/>
  <c r="J22" i="13"/>
  <c r="E22" i="13"/>
  <c r="G72" i="12"/>
  <c r="C70" i="11"/>
  <c r="D70" i="11"/>
  <c r="E70" i="11"/>
  <c r="F70" i="11"/>
  <c r="C71" i="12"/>
  <c r="D71" i="12"/>
  <c r="E71" i="12"/>
  <c r="F71" i="12"/>
  <c r="C70" i="12"/>
  <c r="D70" i="12"/>
  <c r="E70" i="12"/>
  <c r="F70" i="12"/>
  <c r="B71" i="12"/>
  <c r="B70" i="12"/>
  <c r="F69" i="12"/>
  <c r="E69" i="12"/>
  <c r="D69" i="12"/>
  <c r="C69" i="12"/>
  <c r="B69" i="12"/>
  <c r="F68" i="12"/>
  <c r="E68" i="12"/>
  <c r="D68" i="12"/>
  <c r="C68" i="12"/>
  <c r="B68" i="12"/>
  <c r="F67" i="12"/>
  <c r="E67" i="12"/>
  <c r="D67" i="12"/>
  <c r="C67" i="12"/>
  <c r="B67" i="12"/>
  <c r="F66" i="12"/>
  <c r="E66" i="12"/>
  <c r="D66" i="12"/>
  <c r="C66" i="12"/>
  <c r="B66" i="12"/>
  <c r="F65" i="12"/>
  <c r="E65" i="12"/>
  <c r="D65" i="12"/>
  <c r="C65" i="12"/>
  <c r="B65" i="12"/>
  <c r="F64" i="12"/>
  <c r="E64" i="12"/>
  <c r="D64" i="12"/>
  <c r="C64" i="12"/>
  <c r="B64" i="12"/>
  <c r="F63" i="12"/>
  <c r="E63" i="12"/>
  <c r="D63" i="12"/>
  <c r="C63" i="12"/>
  <c r="B63" i="12"/>
  <c r="F62" i="12"/>
  <c r="E62" i="12"/>
  <c r="D62" i="12"/>
  <c r="C62" i="12"/>
  <c r="B62" i="12"/>
  <c r="O53" i="12"/>
  <c r="O32" i="14" s="1"/>
  <c r="N53" i="12"/>
  <c r="N32" i="14" s="1"/>
  <c r="M53" i="12"/>
  <c r="M32" i="14" s="1"/>
  <c r="L53" i="12"/>
  <c r="L32" i="14" s="1"/>
  <c r="K53" i="12"/>
  <c r="K32" i="14" s="1"/>
  <c r="I53" i="12"/>
  <c r="I32" i="14" s="1"/>
  <c r="H53" i="12"/>
  <c r="H32" i="14" s="1"/>
  <c r="G53" i="12"/>
  <c r="G32" i="14" s="1"/>
  <c r="F53" i="12"/>
  <c r="F32" i="14" s="1"/>
  <c r="D53" i="12"/>
  <c r="D32" i="14" s="1"/>
  <c r="C53" i="12"/>
  <c r="C32" i="14" s="1"/>
  <c r="B53" i="12"/>
  <c r="B32" i="14" s="1"/>
  <c r="P52" i="12"/>
  <c r="J52" i="12"/>
  <c r="E52" i="12"/>
  <c r="P51" i="12"/>
  <c r="J51" i="12"/>
  <c r="E51" i="12"/>
  <c r="P50" i="12"/>
  <c r="J50" i="12"/>
  <c r="E50" i="12"/>
  <c r="P49" i="12"/>
  <c r="J49" i="12"/>
  <c r="E49" i="12"/>
  <c r="P48" i="12"/>
  <c r="J48" i="12"/>
  <c r="E48" i="12"/>
  <c r="P47" i="12"/>
  <c r="J47" i="12"/>
  <c r="E47" i="12"/>
  <c r="P46" i="12"/>
  <c r="J46" i="12"/>
  <c r="E46" i="12"/>
  <c r="P45" i="12"/>
  <c r="J45" i="12"/>
  <c r="E45" i="12"/>
  <c r="P44" i="12"/>
  <c r="J44" i="12"/>
  <c r="E44" i="12"/>
  <c r="P43" i="12"/>
  <c r="J43" i="12"/>
  <c r="E43" i="12"/>
  <c r="P42" i="12"/>
  <c r="J42" i="12"/>
  <c r="E42" i="12"/>
  <c r="P41" i="12"/>
  <c r="J41" i="12"/>
  <c r="Q41" i="12" s="1"/>
  <c r="E41" i="12"/>
  <c r="P40" i="12"/>
  <c r="J40" i="12"/>
  <c r="E40" i="12"/>
  <c r="P39" i="12"/>
  <c r="J39" i="12"/>
  <c r="E39" i="12"/>
  <c r="P38" i="12"/>
  <c r="J38" i="12"/>
  <c r="E38" i="12"/>
  <c r="P37" i="12"/>
  <c r="J37" i="12"/>
  <c r="Q37" i="12" s="1"/>
  <c r="E37" i="12"/>
  <c r="P36" i="12"/>
  <c r="J36" i="12"/>
  <c r="E36" i="12"/>
  <c r="P35" i="12"/>
  <c r="J35" i="12"/>
  <c r="E35" i="12"/>
  <c r="P34" i="12"/>
  <c r="J34" i="12"/>
  <c r="E34" i="12"/>
  <c r="P33" i="12"/>
  <c r="J33" i="12"/>
  <c r="Q33" i="12" s="1"/>
  <c r="E33" i="12"/>
  <c r="P32" i="12"/>
  <c r="J32" i="12"/>
  <c r="E32" i="12"/>
  <c r="P31" i="12"/>
  <c r="J31" i="12"/>
  <c r="E31" i="12"/>
  <c r="P30" i="12"/>
  <c r="J30" i="12"/>
  <c r="E30" i="12"/>
  <c r="P29" i="12"/>
  <c r="J29" i="12"/>
  <c r="E29" i="12"/>
  <c r="P28" i="12"/>
  <c r="J28" i="12"/>
  <c r="E28" i="12"/>
  <c r="P27" i="12"/>
  <c r="J27" i="12"/>
  <c r="E27" i="12"/>
  <c r="P26" i="12"/>
  <c r="J26" i="12"/>
  <c r="E26" i="12"/>
  <c r="P25" i="12"/>
  <c r="J25" i="12"/>
  <c r="Q25" i="12" s="1"/>
  <c r="E25" i="12"/>
  <c r="P24" i="12"/>
  <c r="J24" i="12"/>
  <c r="E24" i="12"/>
  <c r="P23" i="12"/>
  <c r="J23" i="12"/>
  <c r="E23" i="12"/>
  <c r="P22" i="12"/>
  <c r="J22" i="12"/>
  <c r="E22" i="12"/>
  <c r="B70" i="11"/>
  <c r="G71" i="11"/>
  <c r="F69" i="11"/>
  <c r="E69" i="11"/>
  <c r="D69" i="11"/>
  <c r="C69" i="11"/>
  <c r="B69" i="11"/>
  <c r="F68" i="11"/>
  <c r="E68" i="11"/>
  <c r="D68" i="11"/>
  <c r="C68" i="11"/>
  <c r="B68" i="11"/>
  <c r="F67" i="11"/>
  <c r="E67" i="11"/>
  <c r="D67" i="11"/>
  <c r="C67" i="11"/>
  <c r="B67" i="11"/>
  <c r="F66" i="11"/>
  <c r="E66" i="11"/>
  <c r="D66" i="11"/>
  <c r="C66" i="11"/>
  <c r="B66" i="11"/>
  <c r="F65" i="11"/>
  <c r="E65" i="11"/>
  <c r="D65" i="11"/>
  <c r="C65" i="11"/>
  <c r="B65" i="11"/>
  <c r="F64" i="11"/>
  <c r="E64" i="11"/>
  <c r="D64" i="11"/>
  <c r="C64" i="11"/>
  <c r="B64" i="11"/>
  <c r="F63" i="11"/>
  <c r="E63" i="11"/>
  <c r="D63" i="11"/>
  <c r="C63" i="11"/>
  <c r="B63" i="11"/>
  <c r="F62" i="11"/>
  <c r="E62" i="11"/>
  <c r="D62" i="11"/>
  <c r="C62" i="11"/>
  <c r="B62" i="11"/>
  <c r="O53" i="11"/>
  <c r="O31" i="14" s="1"/>
  <c r="N53" i="11"/>
  <c r="N31" i="14" s="1"/>
  <c r="M53" i="11"/>
  <c r="M31" i="14" s="1"/>
  <c r="L53" i="11"/>
  <c r="L31" i="14" s="1"/>
  <c r="K53" i="11"/>
  <c r="K31" i="14" s="1"/>
  <c r="I53" i="11"/>
  <c r="I31" i="14" s="1"/>
  <c r="H53" i="11"/>
  <c r="H31" i="14" s="1"/>
  <c r="G53" i="11"/>
  <c r="G31" i="14" s="1"/>
  <c r="F53" i="11"/>
  <c r="F31" i="14" s="1"/>
  <c r="D53" i="11"/>
  <c r="D31" i="14" s="1"/>
  <c r="C53" i="11"/>
  <c r="C31" i="14" s="1"/>
  <c r="B53" i="11"/>
  <c r="B31" i="14" s="1"/>
  <c r="P52" i="11"/>
  <c r="J52" i="11"/>
  <c r="E52" i="11"/>
  <c r="P51" i="11"/>
  <c r="J51" i="11"/>
  <c r="E51" i="11"/>
  <c r="P50" i="11"/>
  <c r="J50" i="11"/>
  <c r="E50" i="11"/>
  <c r="P49" i="11"/>
  <c r="J49" i="11"/>
  <c r="E49" i="11"/>
  <c r="P48" i="11"/>
  <c r="J48" i="11"/>
  <c r="E48" i="11"/>
  <c r="P47" i="11"/>
  <c r="J47" i="11"/>
  <c r="E47" i="11"/>
  <c r="P46" i="11"/>
  <c r="J46" i="11"/>
  <c r="Q46" i="11" s="1"/>
  <c r="E46" i="11"/>
  <c r="P45" i="11"/>
  <c r="J45" i="11"/>
  <c r="E45" i="11"/>
  <c r="P44" i="11"/>
  <c r="J44" i="11"/>
  <c r="E44" i="11"/>
  <c r="P43" i="11"/>
  <c r="J43" i="11"/>
  <c r="E43" i="11"/>
  <c r="P42" i="11"/>
  <c r="J42" i="11"/>
  <c r="Q42" i="11" s="1"/>
  <c r="E42" i="11"/>
  <c r="P41" i="11"/>
  <c r="J41" i="11"/>
  <c r="E41" i="11"/>
  <c r="P40" i="11"/>
  <c r="J40" i="11"/>
  <c r="E40" i="11"/>
  <c r="P39" i="11"/>
  <c r="J39" i="11"/>
  <c r="Q39" i="11" s="1"/>
  <c r="E39" i="11"/>
  <c r="P38" i="11"/>
  <c r="J38" i="11"/>
  <c r="E38" i="11"/>
  <c r="P37" i="11"/>
  <c r="J37" i="11"/>
  <c r="E37" i="11"/>
  <c r="P36" i="11"/>
  <c r="J36" i="11"/>
  <c r="E36" i="11"/>
  <c r="P35" i="11"/>
  <c r="J35" i="11"/>
  <c r="E35" i="11"/>
  <c r="P34" i="11"/>
  <c r="J34" i="11"/>
  <c r="E34" i="11"/>
  <c r="P33" i="11"/>
  <c r="J33" i="11"/>
  <c r="E33" i="11"/>
  <c r="P32" i="11"/>
  <c r="J32" i="11"/>
  <c r="E32" i="11"/>
  <c r="P31" i="11"/>
  <c r="J31" i="11"/>
  <c r="E31" i="11"/>
  <c r="P30" i="11"/>
  <c r="J30" i="11"/>
  <c r="E30" i="11"/>
  <c r="P29" i="11"/>
  <c r="J29" i="11"/>
  <c r="E29" i="11"/>
  <c r="P28" i="11"/>
  <c r="J28" i="11"/>
  <c r="E28" i="11"/>
  <c r="P27" i="11"/>
  <c r="J27" i="11"/>
  <c r="E27" i="11"/>
  <c r="P26" i="11"/>
  <c r="J26" i="11"/>
  <c r="E26" i="11"/>
  <c r="P25" i="11"/>
  <c r="J25" i="11"/>
  <c r="E25" i="11"/>
  <c r="P24" i="11"/>
  <c r="J24" i="11"/>
  <c r="E24" i="11"/>
  <c r="P23" i="11"/>
  <c r="J23" i="11"/>
  <c r="E23" i="11"/>
  <c r="P22" i="11"/>
  <c r="J22" i="11"/>
  <c r="E22" i="11"/>
  <c r="C69" i="10"/>
  <c r="D69" i="10"/>
  <c r="E69" i="10"/>
  <c r="F69" i="10"/>
  <c r="B69" i="10"/>
  <c r="G70" i="10"/>
  <c r="F68" i="10"/>
  <c r="E68" i="10"/>
  <c r="D68" i="10"/>
  <c r="C68" i="10"/>
  <c r="B68" i="10"/>
  <c r="F67" i="10"/>
  <c r="E67" i="10"/>
  <c r="D67" i="10"/>
  <c r="C67" i="10"/>
  <c r="B67" i="10"/>
  <c r="F66" i="10"/>
  <c r="E66" i="10"/>
  <c r="D66" i="10"/>
  <c r="C66" i="10"/>
  <c r="B66" i="10"/>
  <c r="F65" i="10"/>
  <c r="E65" i="10"/>
  <c r="D65" i="10"/>
  <c r="C65" i="10"/>
  <c r="B65" i="10"/>
  <c r="F64" i="10"/>
  <c r="E64" i="10"/>
  <c r="D64" i="10"/>
  <c r="C64" i="10"/>
  <c r="B64" i="10"/>
  <c r="F63" i="10"/>
  <c r="E63" i="10"/>
  <c r="D63" i="10"/>
  <c r="C63" i="10"/>
  <c r="B63" i="10"/>
  <c r="F62" i="10"/>
  <c r="E62" i="10"/>
  <c r="D62" i="10"/>
  <c r="C62" i="10"/>
  <c r="B62" i="10"/>
  <c r="O53" i="10"/>
  <c r="O30" i="14" s="1"/>
  <c r="N53" i="10"/>
  <c r="N30" i="14" s="1"/>
  <c r="M53" i="10"/>
  <c r="M30" i="14" s="1"/>
  <c r="L53" i="10"/>
  <c r="L30" i="14" s="1"/>
  <c r="K53" i="10"/>
  <c r="K30" i="14" s="1"/>
  <c r="I53" i="10"/>
  <c r="I30" i="14" s="1"/>
  <c r="H53" i="10"/>
  <c r="H30" i="14" s="1"/>
  <c r="G53" i="10"/>
  <c r="G30" i="14" s="1"/>
  <c r="F53" i="10"/>
  <c r="F30" i="14" s="1"/>
  <c r="D53" i="10"/>
  <c r="D30" i="14" s="1"/>
  <c r="C53" i="10"/>
  <c r="C30" i="14" s="1"/>
  <c r="B30" i="14"/>
  <c r="P52" i="10"/>
  <c r="J52" i="10"/>
  <c r="E52" i="10"/>
  <c r="P51" i="10"/>
  <c r="J51" i="10"/>
  <c r="E51" i="10"/>
  <c r="P50" i="10"/>
  <c r="J50" i="10"/>
  <c r="E50" i="10"/>
  <c r="P49" i="10"/>
  <c r="J49" i="10"/>
  <c r="E49" i="10"/>
  <c r="P48" i="10"/>
  <c r="J48" i="10"/>
  <c r="E48" i="10"/>
  <c r="P47" i="10"/>
  <c r="Q47" i="10" s="1"/>
  <c r="J47" i="10"/>
  <c r="E47" i="10"/>
  <c r="P46" i="10"/>
  <c r="J46" i="10"/>
  <c r="E46" i="10"/>
  <c r="P45" i="10"/>
  <c r="J45" i="10"/>
  <c r="E45" i="10"/>
  <c r="P44" i="10"/>
  <c r="J44" i="10"/>
  <c r="E44" i="10"/>
  <c r="P43" i="10"/>
  <c r="J43" i="10"/>
  <c r="E43" i="10"/>
  <c r="P42" i="10"/>
  <c r="J42" i="10"/>
  <c r="E42" i="10"/>
  <c r="P41" i="10"/>
  <c r="J41" i="10"/>
  <c r="Q41" i="10" s="1"/>
  <c r="E41" i="10"/>
  <c r="P40" i="10"/>
  <c r="J40" i="10"/>
  <c r="E40" i="10"/>
  <c r="P39" i="10"/>
  <c r="J39" i="10"/>
  <c r="E39" i="10"/>
  <c r="P38" i="10"/>
  <c r="J38" i="10"/>
  <c r="E38" i="10"/>
  <c r="P37" i="10"/>
  <c r="J37" i="10"/>
  <c r="E37" i="10"/>
  <c r="P36" i="10"/>
  <c r="J36" i="10"/>
  <c r="E36" i="10"/>
  <c r="P35" i="10"/>
  <c r="J35" i="10"/>
  <c r="E35" i="10"/>
  <c r="P34" i="10"/>
  <c r="J34" i="10"/>
  <c r="E34" i="10"/>
  <c r="P33" i="10"/>
  <c r="J33" i="10"/>
  <c r="Q33" i="10" s="1"/>
  <c r="E33" i="10"/>
  <c r="P32" i="10"/>
  <c r="J32" i="10"/>
  <c r="E32" i="10"/>
  <c r="P31" i="10"/>
  <c r="J31" i="10"/>
  <c r="E31" i="10"/>
  <c r="P30" i="10"/>
  <c r="J30" i="10"/>
  <c r="E30" i="10"/>
  <c r="P29" i="10"/>
  <c r="J29" i="10"/>
  <c r="Q29" i="10" s="1"/>
  <c r="E29" i="10"/>
  <c r="P28" i="10"/>
  <c r="J28" i="10"/>
  <c r="E28" i="10"/>
  <c r="P27" i="10"/>
  <c r="J27" i="10"/>
  <c r="E27" i="10"/>
  <c r="P26" i="10"/>
  <c r="J26" i="10"/>
  <c r="E26" i="10"/>
  <c r="P25" i="10"/>
  <c r="J25" i="10"/>
  <c r="Q25" i="10" s="1"/>
  <c r="E25" i="10"/>
  <c r="P24" i="10"/>
  <c r="J24" i="10"/>
  <c r="E24" i="10"/>
  <c r="P23" i="10"/>
  <c r="J23" i="10"/>
  <c r="E23" i="10"/>
  <c r="P22" i="10"/>
  <c r="J22" i="10"/>
  <c r="E22" i="10"/>
  <c r="C68" i="9"/>
  <c r="D68" i="9"/>
  <c r="E68" i="9"/>
  <c r="F68" i="9"/>
  <c r="B68" i="9"/>
  <c r="G69" i="9"/>
  <c r="F67" i="9"/>
  <c r="E67" i="9"/>
  <c r="D67" i="9"/>
  <c r="C67" i="9"/>
  <c r="B67" i="9"/>
  <c r="F66" i="9"/>
  <c r="E66" i="9"/>
  <c r="D66" i="9"/>
  <c r="C66" i="9"/>
  <c r="B66" i="9"/>
  <c r="F65" i="9"/>
  <c r="E65" i="9"/>
  <c r="D65" i="9"/>
  <c r="C65" i="9"/>
  <c r="B65" i="9"/>
  <c r="F64" i="9"/>
  <c r="E64" i="9"/>
  <c r="D64" i="9"/>
  <c r="C64" i="9"/>
  <c r="B64" i="9"/>
  <c r="F63" i="9"/>
  <c r="E63" i="9"/>
  <c r="D63" i="9"/>
  <c r="C63" i="9"/>
  <c r="B63" i="9"/>
  <c r="F62" i="9"/>
  <c r="E62" i="9"/>
  <c r="D62" i="9"/>
  <c r="C62" i="9"/>
  <c r="B62" i="9"/>
  <c r="O53" i="9"/>
  <c r="O29" i="14" s="1"/>
  <c r="N53" i="9"/>
  <c r="N29" i="14" s="1"/>
  <c r="M53" i="9"/>
  <c r="M29" i="14" s="1"/>
  <c r="L53" i="9"/>
  <c r="L29" i="14" s="1"/>
  <c r="K53" i="9"/>
  <c r="K29" i="14" s="1"/>
  <c r="I53" i="9"/>
  <c r="I29" i="14" s="1"/>
  <c r="H53" i="9"/>
  <c r="H29" i="14" s="1"/>
  <c r="G53" i="9"/>
  <c r="G29" i="14" s="1"/>
  <c r="F53" i="9"/>
  <c r="F29" i="14" s="1"/>
  <c r="D53" i="9"/>
  <c r="D29" i="14" s="1"/>
  <c r="C53" i="9"/>
  <c r="C29" i="14" s="1"/>
  <c r="B53" i="9"/>
  <c r="B29" i="14" s="1"/>
  <c r="P52" i="9"/>
  <c r="Q52" i="9" s="1"/>
  <c r="J52" i="9"/>
  <c r="E52" i="9"/>
  <c r="P51" i="9"/>
  <c r="J51" i="9"/>
  <c r="E51" i="9"/>
  <c r="P50" i="9"/>
  <c r="J50" i="9"/>
  <c r="E50" i="9"/>
  <c r="P49" i="9"/>
  <c r="J49" i="9"/>
  <c r="E49" i="9"/>
  <c r="P48" i="9"/>
  <c r="J48" i="9"/>
  <c r="E48" i="9"/>
  <c r="P47" i="9"/>
  <c r="J47" i="9"/>
  <c r="E47" i="9"/>
  <c r="P46" i="9"/>
  <c r="J46" i="9"/>
  <c r="E46" i="9"/>
  <c r="P45" i="9"/>
  <c r="J45" i="9"/>
  <c r="E45" i="9"/>
  <c r="P44" i="9"/>
  <c r="J44" i="9"/>
  <c r="E44" i="9"/>
  <c r="P43" i="9"/>
  <c r="J43" i="9"/>
  <c r="Q43" i="9" s="1"/>
  <c r="E43" i="9"/>
  <c r="P42" i="9"/>
  <c r="J42" i="9"/>
  <c r="E42" i="9"/>
  <c r="P41" i="9"/>
  <c r="J41" i="9"/>
  <c r="E41" i="9"/>
  <c r="P40" i="9"/>
  <c r="J40" i="9"/>
  <c r="E40" i="9"/>
  <c r="P39" i="9"/>
  <c r="J39" i="9"/>
  <c r="Q39" i="9" s="1"/>
  <c r="E39" i="9"/>
  <c r="P38" i="9"/>
  <c r="J38" i="9"/>
  <c r="E38" i="9"/>
  <c r="P37" i="9"/>
  <c r="J37" i="9"/>
  <c r="E37" i="9"/>
  <c r="P36" i="9"/>
  <c r="J36" i="9"/>
  <c r="E36" i="9"/>
  <c r="P35" i="9"/>
  <c r="J35" i="9"/>
  <c r="E35" i="9"/>
  <c r="P34" i="9"/>
  <c r="J34" i="9"/>
  <c r="E34" i="9"/>
  <c r="P33" i="9"/>
  <c r="J33" i="9"/>
  <c r="E33" i="9"/>
  <c r="P32" i="9"/>
  <c r="J32" i="9"/>
  <c r="E32" i="9"/>
  <c r="P31" i="9"/>
  <c r="J31" i="9"/>
  <c r="E31" i="9"/>
  <c r="P30" i="9"/>
  <c r="J30" i="9"/>
  <c r="E30" i="9"/>
  <c r="P29" i="9"/>
  <c r="J29" i="9"/>
  <c r="E29" i="9"/>
  <c r="P28" i="9"/>
  <c r="J28" i="9"/>
  <c r="E28" i="9"/>
  <c r="P27" i="9"/>
  <c r="J27" i="9"/>
  <c r="E27" i="9"/>
  <c r="P26" i="9"/>
  <c r="J26" i="9"/>
  <c r="E26" i="9"/>
  <c r="P25" i="9"/>
  <c r="J25" i="9"/>
  <c r="E25" i="9"/>
  <c r="P24" i="9"/>
  <c r="J24" i="9"/>
  <c r="E24" i="9"/>
  <c r="P23" i="9"/>
  <c r="J23" i="9"/>
  <c r="E23" i="9"/>
  <c r="P22" i="9"/>
  <c r="J22" i="9"/>
  <c r="E22" i="9"/>
  <c r="G68" i="8"/>
  <c r="C67" i="8"/>
  <c r="D67" i="8"/>
  <c r="E67" i="8"/>
  <c r="F67" i="8"/>
  <c r="B67" i="8"/>
  <c r="F66" i="8"/>
  <c r="E66" i="8"/>
  <c r="D66" i="8"/>
  <c r="C66" i="8"/>
  <c r="B66" i="8"/>
  <c r="F65" i="8"/>
  <c r="E65" i="8"/>
  <c r="D65" i="8"/>
  <c r="C65" i="8"/>
  <c r="B65" i="8"/>
  <c r="F64" i="8"/>
  <c r="E64" i="8"/>
  <c r="D64" i="8"/>
  <c r="C64" i="8"/>
  <c r="B64" i="8"/>
  <c r="F63" i="8"/>
  <c r="E63" i="8"/>
  <c r="D63" i="8"/>
  <c r="C63" i="8"/>
  <c r="B63" i="8"/>
  <c r="F62" i="8"/>
  <c r="E62" i="8"/>
  <c r="D62" i="8"/>
  <c r="C62" i="8"/>
  <c r="B62" i="8"/>
  <c r="O53" i="8"/>
  <c r="O28" i="14" s="1"/>
  <c r="N53" i="8"/>
  <c r="N28" i="14" s="1"/>
  <c r="M53" i="8"/>
  <c r="M28" i="14" s="1"/>
  <c r="L53" i="8"/>
  <c r="L28" i="14" s="1"/>
  <c r="K53" i="8"/>
  <c r="K28" i="14" s="1"/>
  <c r="I53" i="8"/>
  <c r="I28" i="14" s="1"/>
  <c r="H53" i="8"/>
  <c r="H28" i="14" s="1"/>
  <c r="G53" i="8"/>
  <c r="G28" i="14" s="1"/>
  <c r="F53" i="8"/>
  <c r="F28" i="14" s="1"/>
  <c r="D53" i="8"/>
  <c r="D28" i="14" s="1"/>
  <c r="C53" i="8"/>
  <c r="C28" i="14" s="1"/>
  <c r="B53" i="8"/>
  <c r="B28" i="14" s="1"/>
  <c r="P52" i="8"/>
  <c r="J52" i="8"/>
  <c r="E52" i="8"/>
  <c r="P51" i="8"/>
  <c r="J51" i="8"/>
  <c r="E51" i="8"/>
  <c r="P50" i="8"/>
  <c r="J50" i="8"/>
  <c r="E50" i="8"/>
  <c r="P49" i="8"/>
  <c r="J49" i="8"/>
  <c r="Q49" i="8" s="1"/>
  <c r="E49" i="8"/>
  <c r="P48" i="8"/>
  <c r="J48" i="8"/>
  <c r="E48" i="8"/>
  <c r="P47" i="8"/>
  <c r="J47" i="8"/>
  <c r="E47" i="8"/>
  <c r="P46" i="8"/>
  <c r="J46" i="8"/>
  <c r="E46" i="8"/>
  <c r="P45" i="8"/>
  <c r="J45" i="8"/>
  <c r="E45" i="8"/>
  <c r="P44" i="8"/>
  <c r="J44" i="8"/>
  <c r="E44" i="8"/>
  <c r="P43" i="8"/>
  <c r="J43" i="8"/>
  <c r="E43" i="8"/>
  <c r="P42" i="8"/>
  <c r="J42" i="8"/>
  <c r="E42" i="8"/>
  <c r="P41" i="8"/>
  <c r="J41" i="8"/>
  <c r="Q41" i="8" s="1"/>
  <c r="E41" i="8"/>
  <c r="P40" i="8"/>
  <c r="J40" i="8"/>
  <c r="E40" i="8"/>
  <c r="P39" i="8"/>
  <c r="J39" i="8"/>
  <c r="E39" i="8"/>
  <c r="P38" i="8"/>
  <c r="J38" i="8"/>
  <c r="E38" i="8"/>
  <c r="P37" i="8"/>
  <c r="J37" i="8"/>
  <c r="Q37" i="8" s="1"/>
  <c r="E37" i="8"/>
  <c r="P36" i="8"/>
  <c r="J36" i="8"/>
  <c r="E36" i="8"/>
  <c r="P35" i="8"/>
  <c r="J35" i="8"/>
  <c r="E35" i="8"/>
  <c r="P34" i="8"/>
  <c r="J34" i="8"/>
  <c r="E34" i="8"/>
  <c r="P33" i="8"/>
  <c r="J33" i="8"/>
  <c r="Q33" i="8" s="1"/>
  <c r="E33" i="8"/>
  <c r="P32" i="8"/>
  <c r="J32" i="8"/>
  <c r="E32" i="8"/>
  <c r="P31" i="8"/>
  <c r="J31" i="8"/>
  <c r="E31" i="8"/>
  <c r="P30" i="8"/>
  <c r="J30" i="8"/>
  <c r="E30" i="8"/>
  <c r="P29" i="8"/>
  <c r="J29" i="8"/>
  <c r="E29" i="8"/>
  <c r="P28" i="8"/>
  <c r="J28" i="8"/>
  <c r="E28" i="8"/>
  <c r="P27" i="8"/>
  <c r="J27" i="8"/>
  <c r="E27" i="8"/>
  <c r="P26" i="8"/>
  <c r="J26" i="8"/>
  <c r="E26" i="8"/>
  <c r="P25" i="8"/>
  <c r="J25" i="8"/>
  <c r="Q25" i="8" s="1"/>
  <c r="E25" i="8"/>
  <c r="P24" i="8"/>
  <c r="J24" i="8"/>
  <c r="E24" i="8"/>
  <c r="P23" i="8"/>
  <c r="J23" i="8"/>
  <c r="E23" i="8"/>
  <c r="P22" i="8"/>
  <c r="J22" i="8"/>
  <c r="E22" i="8"/>
  <c r="G67" i="7"/>
  <c r="C66" i="7"/>
  <c r="D66" i="7"/>
  <c r="E66" i="7"/>
  <c r="F66" i="7"/>
  <c r="B66" i="7"/>
  <c r="F65" i="7"/>
  <c r="E65" i="7"/>
  <c r="D65" i="7"/>
  <c r="C65" i="7"/>
  <c r="B65" i="7"/>
  <c r="F64" i="7"/>
  <c r="E64" i="7"/>
  <c r="D64" i="7"/>
  <c r="C64" i="7"/>
  <c r="B64" i="7"/>
  <c r="F63" i="7"/>
  <c r="E63" i="7"/>
  <c r="D63" i="7"/>
  <c r="C63" i="7"/>
  <c r="B63" i="7"/>
  <c r="F62" i="7"/>
  <c r="E62" i="7"/>
  <c r="D62" i="7"/>
  <c r="C62" i="7"/>
  <c r="B62" i="7"/>
  <c r="O53" i="7"/>
  <c r="O27" i="14" s="1"/>
  <c r="N53" i="7"/>
  <c r="N27" i="14" s="1"/>
  <c r="M53" i="7"/>
  <c r="M27" i="14" s="1"/>
  <c r="L53" i="7"/>
  <c r="L27" i="14" s="1"/>
  <c r="K53" i="7"/>
  <c r="K27" i="14" s="1"/>
  <c r="I53" i="7"/>
  <c r="I27" i="14" s="1"/>
  <c r="H53" i="7"/>
  <c r="H27" i="14" s="1"/>
  <c r="G53" i="7"/>
  <c r="G27" i="14" s="1"/>
  <c r="F53" i="7"/>
  <c r="F27" i="14" s="1"/>
  <c r="D53" i="7"/>
  <c r="D27" i="14" s="1"/>
  <c r="C53" i="7"/>
  <c r="C27" i="14" s="1"/>
  <c r="B53" i="7"/>
  <c r="B27" i="14" s="1"/>
  <c r="P52" i="7"/>
  <c r="J52" i="7"/>
  <c r="E52" i="7"/>
  <c r="P51" i="7"/>
  <c r="J51" i="7"/>
  <c r="E51" i="7"/>
  <c r="P50" i="7"/>
  <c r="J50" i="7"/>
  <c r="E50" i="7"/>
  <c r="P49" i="7"/>
  <c r="J49" i="7"/>
  <c r="E49" i="7"/>
  <c r="P48" i="7"/>
  <c r="J48" i="7"/>
  <c r="E48" i="7"/>
  <c r="P47" i="7"/>
  <c r="J47" i="7"/>
  <c r="E47" i="7"/>
  <c r="P46" i="7"/>
  <c r="J46" i="7"/>
  <c r="E46" i="7"/>
  <c r="P45" i="7"/>
  <c r="J45" i="7"/>
  <c r="E45" i="7"/>
  <c r="P44" i="7"/>
  <c r="J44" i="7"/>
  <c r="E44" i="7"/>
  <c r="P43" i="7"/>
  <c r="J43" i="7"/>
  <c r="E43" i="7"/>
  <c r="P42" i="7"/>
  <c r="J42" i="7"/>
  <c r="E42" i="7"/>
  <c r="P41" i="7"/>
  <c r="J41" i="7"/>
  <c r="E41" i="7"/>
  <c r="P40" i="7"/>
  <c r="J40" i="7"/>
  <c r="E40" i="7"/>
  <c r="P39" i="7"/>
  <c r="J39" i="7"/>
  <c r="E39" i="7"/>
  <c r="P38" i="7"/>
  <c r="J38" i="7"/>
  <c r="E38" i="7"/>
  <c r="P37" i="7"/>
  <c r="J37" i="7"/>
  <c r="E37" i="7"/>
  <c r="P36" i="7"/>
  <c r="J36" i="7"/>
  <c r="E36" i="7"/>
  <c r="P35" i="7"/>
  <c r="J35" i="7"/>
  <c r="E35" i="7"/>
  <c r="P34" i="7"/>
  <c r="J34" i="7"/>
  <c r="E34" i="7"/>
  <c r="P33" i="7"/>
  <c r="J33" i="7"/>
  <c r="E33" i="7"/>
  <c r="P32" i="7"/>
  <c r="J32" i="7"/>
  <c r="E32" i="7"/>
  <c r="P31" i="7"/>
  <c r="J31" i="7"/>
  <c r="E31" i="7"/>
  <c r="P30" i="7"/>
  <c r="J30" i="7"/>
  <c r="E30" i="7"/>
  <c r="P29" i="7"/>
  <c r="J29" i="7"/>
  <c r="E29" i="7"/>
  <c r="P28" i="7"/>
  <c r="J28" i="7"/>
  <c r="E28" i="7"/>
  <c r="P27" i="7"/>
  <c r="J27" i="7"/>
  <c r="E27" i="7"/>
  <c r="P26" i="7"/>
  <c r="J26" i="7"/>
  <c r="E26" i="7"/>
  <c r="P25" i="7"/>
  <c r="J25" i="7"/>
  <c r="E25" i="7"/>
  <c r="P24" i="7"/>
  <c r="J24" i="7"/>
  <c r="E24" i="7"/>
  <c r="P23" i="7"/>
  <c r="J23" i="7"/>
  <c r="E23" i="7"/>
  <c r="P22" i="7"/>
  <c r="J22" i="7"/>
  <c r="E22" i="7"/>
  <c r="C65" i="6"/>
  <c r="D65" i="6"/>
  <c r="E65" i="6"/>
  <c r="F65" i="6"/>
  <c r="B65" i="6"/>
  <c r="G66" i="6"/>
  <c r="F64" i="6"/>
  <c r="E64" i="6"/>
  <c r="D64" i="6"/>
  <c r="C64" i="6"/>
  <c r="B64" i="6"/>
  <c r="F63" i="6"/>
  <c r="E63" i="6"/>
  <c r="D63" i="6"/>
  <c r="C63" i="6"/>
  <c r="B63" i="6"/>
  <c r="F62" i="6"/>
  <c r="E62" i="6"/>
  <c r="D62" i="6"/>
  <c r="C62" i="6"/>
  <c r="B62" i="6"/>
  <c r="O53" i="6"/>
  <c r="O26" i="14" s="1"/>
  <c r="N53" i="6"/>
  <c r="N26" i="14" s="1"/>
  <c r="M53" i="6"/>
  <c r="M26" i="14" s="1"/>
  <c r="L53" i="6"/>
  <c r="L26" i="14" s="1"/>
  <c r="K53" i="6"/>
  <c r="K26" i="14" s="1"/>
  <c r="I53" i="6"/>
  <c r="I26" i="14" s="1"/>
  <c r="H53" i="6"/>
  <c r="H26" i="14" s="1"/>
  <c r="G53" i="6"/>
  <c r="G26" i="14" s="1"/>
  <c r="F53" i="6"/>
  <c r="F26" i="14" s="1"/>
  <c r="D53" i="6"/>
  <c r="D26" i="14" s="1"/>
  <c r="C53" i="6"/>
  <c r="C26" i="14" s="1"/>
  <c r="B53" i="6"/>
  <c r="B26" i="14" s="1"/>
  <c r="P52" i="6"/>
  <c r="J52" i="6"/>
  <c r="E52" i="6"/>
  <c r="P51" i="6"/>
  <c r="J51" i="6"/>
  <c r="E51" i="6"/>
  <c r="P50" i="6"/>
  <c r="J50" i="6"/>
  <c r="E50" i="6"/>
  <c r="P49" i="6"/>
  <c r="J49" i="6"/>
  <c r="E49" i="6"/>
  <c r="P48" i="6"/>
  <c r="J48" i="6"/>
  <c r="E48" i="6"/>
  <c r="P47" i="6"/>
  <c r="J47" i="6"/>
  <c r="E47" i="6"/>
  <c r="P46" i="6"/>
  <c r="J46" i="6"/>
  <c r="E46" i="6"/>
  <c r="P45" i="6"/>
  <c r="J45" i="6"/>
  <c r="E45" i="6"/>
  <c r="P44" i="6"/>
  <c r="J44" i="6"/>
  <c r="E44" i="6"/>
  <c r="P43" i="6"/>
  <c r="J43" i="6"/>
  <c r="E43" i="6"/>
  <c r="P42" i="6"/>
  <c r="J42" i="6"/>
  <c r="E42" i="6"/>
  <c r="P41" i="6"/>
  <c r="J41" i="6"/>
  <c r="E41" i="6"/>
  <c r="P40" i="6"/>
  <c r="J40" i="6"/>
  <c r="E40" i="6"/>
  <c r="P39" i="6"/>
  <c r="J39" i="6"/>
  <c r="E39" i="6"/>
  <c r="P38" i="6"/>
  <c r="J38" i="6"/>
  <c r="E38" i="6"/>
  <c r="P37" i="6"/>
  <c r="J37" i="6"/>
  <c r="E37" i="6"/>
  <c r="P36" i="6"/>
  <c r="J36" i="6"/>
  <c r="E36" i="6"/>
  <c r="P35" i="6"/>
  <c r="J35" i="6"/>
  <c r="E35" i="6"/>
  <c r="P34" i="6"/>
  <c r="J34" i="6"/>
  <c r="E34" i="6"/>
  <c r="P33" i="6"/>
  <c r="J33" i="6"/>
  <c r="E33" i="6"/>
  <c r="P32" i="6"/>
  <c r="J32" i="6"/>
  <c r="E32" i="6"/>
  <c r="P31" i="6"/>
  <c r="J31" i="6"/>
  <c r="E31" i="6"/>
  <c r="P30" i="6"/>
  <c r="J30" i="6"/>
  <c r="E30" i="6"/>
  <c r="P29" i="6"/>
  <c r="J29" i="6"/>
  <c r="E29" i="6"/>
  <c r="P28" i="6"/>
  <c r="J28" i="6"/>
  <c r="E28" i="6"/>
  <c r="P27" i="6"/>
  <c r="J27" i="6"/>
  <c r="E27" i="6"/>
  <c r="P26" i="6"/>
  <c r="J26" i="6"/>
  <c r="E26" i="6"/>
  <c r="P25" i="6"/>
  <c r="J25" i="6"/>
  <c r="E25" i="6"/>
  <c r="P24" i="6"/>
  <c r="J24" i="6"/>
  <c r="E24" i="6"/>
  <c r="P23" i="6"/>
  <c r="J23" i="6"/>
  <c r="E23" i="6"/>
  <c r="P22" i="6"/>
  <c r="J22" i="6"/>
  <c r="E22" i="6"/>
  <c r="G65" i="5"/>
  <c r="C64" i="5"/>
  <c r="D64" i="5"/>
  <c r="E64" i="5"/>
  <c r="F64" i="5"/>
  <c r="B64" i="5"/>
  <c r="C63" i="5"/>
  <c r="D63" i="5"/>
  <c r="E63" i="5"/>
  <c r="F63" i="5"/>
  <c r="B63" i="5"/>
  <c r="C63" i="4"/>
  <c r="D63" i="4"/>
  <c r="F63" i="4"/>
  <c r="B63" i="4"/>
  <c r="F62" i="5"/>
  <c r="E62" i="5"/>
  <c r="D62" i="5"/>
  <c r="C62" i="5"/>
  <c r="B62" i="5"/>
  <c r="O53" i="5"/>
  <c r="O25" i="14" s="1"/>
  <c r="N53" i="5"/>
  <c r="N25" i="14" s="1"/>
  <c r="M53" i="5"/>
  <c r="M25" i="14" s="1"/>
  <c r="L53" i="5"/>
  <c r="L25" i="14" s="1"/>
  <c r="K53" i="5"/>
  <c r="K25" i="14" s="1"/>
  <c r="I53" i="5"/>
  <c r="I25" i="14" s="1"/>
  <c r="H53" i="5"/>
  <c r="H25" i="14" s="1"/>
  <c r="G53" i="5"/>
  <c r="G25" i="14" s="1"/>
  <c r="F53" i="5"/>
  <c r="F25" i="14" s="1"/>
  <c r="D53" i="5"/>
  <c r="D25" i="14" s="1"/>
  <c r="C53" i="5"/>
  <c r="C25" i="14" s="1"/>
  <c r="B53" i="5"/>
  <c r="B25" i="14" s="1"/>
  <c r="P52" i="5"/>
  <c r="J52" i="5"/>
  <c r="E52" i="5"/>
  <c r="P51" i="5"/>
  <c r="J51" i="5"/>
  <c r="E51" i="5"/>
  <c r="P50" i="5"/>
  <c r="J50" i="5"/>
  <c r="E50" i="5"/>
  <c r="P49" i="5"/>
  <c r="J49" i="5"/>
  <c r="E49" i="5"/>
  <c r="P48" i="5"/>
  <c r="J48" i="5"/>
  <c r="E48" i="5"/>
  <c r="P47" i="5"/>
  <c r="J47" i="5"/>
  <c r="E47" i="5"/>
  <c r="P46" i="5"/>
  <c r="J46" i="5"/>
  <c r="E46" i="5"/>
  <c r="P45" i="5"/>
  <c r="J45" i="5"/>
  <c r="E45" i="5"/>
  <c r="P44" i="5"/>
  <c r="J44" i="5"/>
  <c r="E44" i="5"/>
  <c r="P43" i="5"/>
  <c r="J43" i="5"/>
  <c r="E43" i="5"/>
  <c r="P42" i="5"/>
  <c r="J42" i="5"/>
  <c r="E42" i="5"/>
  <c r="P41" i="5"/>
  <c r="J41" i="5"/>
  <c r="E41" i="5"/>
  <c r="P40" i="5"/>
  <c r="J40" i="5"/>
  <c r="E40" i="5"/>
  <c r="P39" i="5"/>
  <c r="J39" i="5"/>
  <c r="E39" i="5"/>
  <c r="P38" i="5"/>
  <c r="J38" i="5"/>
  <c r="E38" i="5"/>
  <c r="P37" i="5"/>
  <c r="J37" i="5"/>
  <c r="E37" i="5"/>
  <c r="P36" i="5"/>
  <c r="J36" i="5"/>
  <c r="E36" i="5"/>
  <c r="P35" i="5"/>
  <c r="J35" i="5"/>
  <c r="E35" i="5"/>
  <c r="P34" i="5"/>
  <c r="J34" i="5"/>
  <c r="E34" i="5"/>
  <c r="P33" i="5"/>
  <c r="J33" i="5"/>
  <c r="E33" i="5"/>
  <c r="P32" i="5"/>
  <c r="J32" i="5"/>
  <c r="E32" i="5"/>
  <c r="P31" i="5"/>
  <c r="J31" i="5"/>
  <c r="E31" i="5"/>
  <c r="P30" i="5"/>
  <c r="J30" i="5"/>
  <c r="E30" i="5"/>
  <c r="P29" i="5"/>
  <c r="J29" i="5"/>
  <c r="E29" i="5"/>
  <c r="P28" i="5"/>
  <c r="J28" i="5"/>
  <c r="E28" i="5"/>
  <c r="P27" i="5"/>
  <c r="J27" i="5"/>
  <c r="E27" i="5"/>
  <c r="P26" i="5"/>
  <c r="J26" i="5"/>
  <c r="E26" i="5"/>
  <c r="P25" i="5"/>
  <c r="J25" i="5"/>
  <c r="E25" i="5"/>
  <c r="P24" i="5"/>
  <c r="J24" i="5"/>
  <c r="E24" i="5"/>
  <c r="P23" i="5"/>
  <c r="J23" i="5"/>
  <c r="E23" i="5"/>
  <c r="P22" i="5"/>
  <c r="J22" i="5"/>
  <c r="E22" i="5"/>
  <c r="F62" i="4"/>
  <c r="E62" i="4"/>
  <c r="D62" i="4"/>
  <c r="C62" i="4"/>
  <c r="O53" i="4"/>
  <c r="O24" i="14" s="1"/>
  <c r="N53" i="4"/>
  <c r="N24" i="14" s="1"/>
  <c r="M53" i="4"/>
  <c r="M24" i="14" s="1"/>
  <c r="L53" i="4"/>
  <c r="L24" i="14" s="1"/>
  <c r="K53" i="4"/>
  <c r="K24" i="14" s="1"/>
  <c r="I53" i="4"/>
  <c r="I24" i="14" s="1"/>
  <c r="H53" i="4"/>
  <c r="H24" i="14" s="1"/>
  <c r="G53" i="4"/>
  <c r="G24" i="14" s="1"/>
  <c r="F53" i="4"/>
  <c r="F24" i="14" s="1"/>
  <c r="D53" i="4"/>
  <c r="D24" i="14" s="1"/>
  <c r="C53" i="4"/>
  <c r="C24" i="14" s="1"/>
  <c r="B53" i="4"/>
  <c r="P52" i="4"/>
  <c r="J52" i="4"/>
  <c r="E52" i="4"/>
  <c r="P51" i="4"/>
  <c r="J51" i="4"/>
  <c r="E51" i="4"/>
  <c r="P50" i="4"/>
  <c r="J50" i="4"/>
  <c r="E50" i="4"/>
  <c r="P49" i="4"/>
  <c r="J49" i="4"/>
  <c r="E49" i="4"/>
  <c r="P48" i="4"/>
  <c r="J48" i="4"/>
  <c r="E48" i="4"/>
  <c r="P47" i="4"/>
  <c r="J47" i="4"/>
  <c r="E47" i="4"/>
  <c r="P46" i="4"/>
  <c r="J46" i="4"/>
  <c r="E46" i="4"/>
  <c r="P45" i="4"/>
  <c r="J45" i="4"/>
  <c r="E45" i="4"/>
  <c r="P44" i="4"/>
  <c r="J44" i="4"/>
  <c r="E44" i="4"/>
  <c r="P43" i="4"/>
  <c r="J43" i="4"/>
  <c r="E43" i="4"/>
  <c r="P42" i="4"/>
  <c r="J42" i="4"/>
  <c r="E42" i="4"/>
  <c r="P41" i="4"/>
  <c r="J41" i="4"/>
  <c r="E41" i="4"/>
  <c r="P40" i="4"/>
  <c r="J40" i="4"/>
  <c r="E40" i="4"/>
  <c r="P39" i="4"/>
  <c r="J39" i="4"/>
  <c r="E39" i="4"/>
  <c r="P38" i="4"/>
  <c r="J38" i="4"/>
  <c r="E38" i="4"/>
  <c r="P37" i="4"/>
  <c r="J37" i="4"/>
  <c r="E37" i="4"/>
  <c r="P36" i="4"/>
  <c r="J36" i="4"/>
  <c r="E36" i="4"/>
  <c r="P35" i="4"/>
  <c r="J35" i="4"/>
  <c r="E35" i="4"/>
  <c r="P34" i="4"/>
  <c r="J34" i="4"/>
  <c r="E34" i="4"/>
  <c r="P33" i="4"/>
  <c r="J33" i="4"/>
  <c r="E33" i="4"/>
  <c r="P32" i="4"/>
  <c r="J32" i="4"/>
  <c r="E32" i="4"/>
  <c r="P31" i="4"/>
  <c r="J31" i="4"/>
  <c r="E31" i="4"/>
  <c r="P30" i="4"/>
  <c r="J30" i="4"/>
  <c r="E30" i="4"/>
  <c r="P29" i="4"/>
  <c r="J29" i="4"/>
  <c r="E29" i="4"/>
  <c r="P28" i="4"/>
  <c r="J28" i="4"/>
  <c r="E28" i="4"/>
  <c r="P27" i="4"/>
  <c r="J27" i="4"/>
  <c r="E27" i="4"/>
  <c r="P26" i="4"/>
  <c r="J26" i="4"/>
  <c r="E26" i="4"/>
  <c r="P25" i="4"/>
  <c r="J25" i="4"/>
  <c r="E25" i="4"/>
  <c r="P24" i="4"/>
  <c r="J24" i="4"/>
  <c r="E24" i="4"/>
  <c r="P23" i="4"/>
  <c r="J23" i="4"/>
  <c r="E23" i="4"/>
  <c r="P22" i="4"/>
  <c r="J22" i="4"/>
  <c r="E22" i="4"/>
  <c r="C62" i="3"/>
  <c r="E62" i="3"/>
  <c r="F62" i="3"/>
  <c r="B62" i="3"/>
  <c r="O53" i="3"/>
  <c r="O23" i="14" s="1"/>
  <c r="N53" i="3"/>
  <c r="N23" i="14" s="1"/>
  <c r="M53" i="3"/>
  <c r="M23" i="14" s="1"/>
  <c r="L53" i="3"/>
  <c r="L23" i="14" s="1"/>
  <c r="K53" i="3"/>
  <c r="K23" i="14" s="1"/>
  <c r="I53" i="3"/>
  <c r="I23" i="14" s="1"/>
  <c r="H53" i="3"/>
  <c r="H23" i="14" s="1"/>
  <c r="G53" i="3"/>
  <c r="G23" i="14" s="1"/>
  <c r="F53" i="3"/>
  <c r="F23" i="14" s="1"/>
  <c r="D53" i="3"/>
  <c r="D23" i="14" s="1"/>
  <c r="C53" i="3"/>
  <c r="C23" i="14" s="1"/>
  <c r="B53" i="3"/>
  <c r="P52" i="3"/>
  <c r="J52" i="3"/>
  <c r="E52" i="3"/>
  <c r="P51" i="3"/>
  <c r="J51" i="3"/>
  <c r="E51" i="3"/>
  <c r="P50" i="3"/>
  <c r="J50" i="3"/>
  <c r="Q50" i="3" s="1"/>
  <c r="E50" i="3"/>
  <c r="P49" i="3"/>
  <c r="J49" i="3"/>
  <c r="E49" i="3"/>
  <c r="P48" i="3"/>
  <c r="J48" i="3"/>
  <c r="E48" i="3"/>
  <c r="P47" i="3"/>
  <c r="J47" i="3"/>
  <c r="E47" i="3"/>
  <c r="P46" i="3"/>
  <c r="J46" i="3"/>
  <c r="E46" i="3"/>
  <c r="P45" i="3"/>
  <c r="J45" i="3"/>
  <c r="E45" i="3"/>
  <c r="P44" i="3"/>
  <c r="J44" i="3"/>
  <c r="E44" i="3"/>
  <c r="P43" i="3"/>
  <c r="J43" i="3"/>
  <c r="E43" i="3"/>
  <c r="P42" i="3"/>
  <c r="J42" i="3"/>
  <c r="E42" i="3"/>
  <c r="P41" i="3"/>
  <c r="J41" i="3"/>
  <c r="E41" i="3"/>
  <c r="P40" i="3"/>
  <c r="J40" i="3"/>
  <c r="E40" i="3"/>
  <c r="P39" i="3"/>
  <c r="J39" i="3"/>
  <c r="E39" i="3"/>
  <c r="P38" i="3"/>
  <c r="J38" i="3"/>
  <c r="E38" i="3"/>
  <c r="P37" i="3"/>
  <c r="J37" i="3"/>
  <c r="E37" i="3"/>
  <c r="P36" i="3"/>
  <c r="J36" i="3"/>
  <c r="E36" i="3"/>
  <c r="P35" i="3"/>
  <c r="J35" i="3"/>
  <c r="E35" i="3"/>
  <c r="P34" i="3"/>
  <c r="J34" i="3"/>
  <c r="E34" i="3"/>
  <c r="P33" i="3"/>
  <c r="J33" i="3"/>
  <c r="E33" i="3"/>
  <c r="P32" i="3"/>
  <c r="J32" i="3"/>
  <c r="E32" i="3"/>
  <c r="P31" i="3"/>
  <c r="J31" i="3"/>
  <c r="E31" i="3"/>
  <c r="P30" i="3"/>
  <c r="J30" i="3"/>
  <c r="E30" i="3"/>
  <c r="P29" i="3"/>
  <c r="J29" i="3"/>
  <c r="E29" i="3"/>
  <c r="P28" i="3"/>
  <c r="J28" i="3"/>
  <c r="E28" i="3"/>
  <c r="P27" i="3"/>
  <c r="J27" i="3"/>
  <c r="E27" i="3"/>
  <c r="P26" i="3"/>
  <c r="J26" i="3"/>
  <c r="E26" i="3"/>
  <c r="P25" i="3"/>
  <c r="J25" i="3"/>
  <c r="E25" i="3"/>
  <c r="P24" i="3"/>
  <c r="J24" i="3"/>
  <c r="E24" i="3"/>
  <c r="P23" i="3"/>
  <c r="J23" i="3"/>
  <c r="E23" i="3"/>
  <c r="P22" i="3"/>
  <c r="J22" i="3"/>
  <c r="E22" i="3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22" i="2"/>
  <c r="F53" i="2"/>
  <c r="F22" i="14" s="1"/>
  <c r="G53" i="2"/>
  <c r="G22" i="14" s="1"/>
  <c r="H53" i="2"/>
  <c r="H22" i="14" s="1"/>
  <c r="I53" i="2"/>
  <c r="I22" i="14" s="1"/>
  <c r="K53" i="2"/>
  <c r="K22" i="14" s="1"/>
  <c r="L53" i="2"/>
  <c r="L22" i="14" s="1"/>
  <c r="M53" i="2"/>
  <c r="M22" i="14" s="1"/>
  <c r="N53" i="2"/>
  <c r="N22" i="14" s="1"/>
  <c r="O53" i="2"/>
  <c r="O22" i="14" s="1"/>
  <c r="B53" i="2"/>
  <c r="B22" i="14" s="1"/>
  <c r="C53" i="2"/>
  <c r="C22" i="14" s="1"/>
  <c r="D53" i="2"/>
  <c r="D22" i="14" s="1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22" i="2"/>
  <c r="E26" i="14" l="1"/>
  <c r="J29" i="14"/>
  <c r="E53" i="9"/>
  <c r="G63" i="4"/>
  <c r="G62" i="4"/>
  <c r="G72" i="13"/>
  <c r="Q25" i="11"/>
  <c r="Q29" i="11"/>
  <c r="Q37" i="11"/>
  <c r="Q23" i="11"/>
  <c r="R23" i="11" s="1"/>
  <c r="Q43" i="11"/>
  <c r="Q43" i="10"/>
  <c r="Q46" i="10"/>
  <c r="Q50" i="10"/>
  <c r="E30" i="14"/>
  <c r="P53" i="9"/>
  <c r="J53" i="9"/>
  <c r="Q31" i="9"/>
  <c r="Q35" i="9"/>
  <c r="R35" i="9" s="1"/>
  <c r="E25" i="14"/>
  <c r="P53" i="4"/>
  <c r="J53" i="4"/>
  <c r="E53" i="4"/>
  <c r="P53" i="3"/>
  <c r="Q27" i="3"/>
  <c r="R27" i="3" s="1"/>
  <c r="J53" i="3"/>
  <c r="E53" i="3"/>
  <c r="P53" i="2"/>
  <c r="Q50" i="11"/>
  <c r="Q47" i="9"/>
  <c r="J53" i="2"/>
  <c r="E53" i="2"/>
  <c r="G64" i="5"/>
  <c r="E53" i="13"/>
  <c r="G63" i="9"/>
  <c r="Q30" i="13"/>
  <c r="Q38" i="13"/>
  <c r="R38" i="13" s="1"/>
  <c r="Q46" i="13"/>
  <c r="Q25" i="13"/>
  <c r="Q33" i="13"/>
  <c r="R33" i="13" s="1"/>
  <c r="Q49" i="13"/>
  <c r="R49" i="13" s="1"/>
  <c r="Q29" i="13"/>
  <c r="R29" i="13" s="1"/>
  <c r="Q37" i="13"/>
  <c r="R37" i="13" s="1"/>
  <c r="Q41" i="13"/>
  <c r="R41" i="13" s="1"/>
  <c r="Q45" i="13"/>
  <c r="R45" i="13" s="1"/>
  <c r="Q24" i="13"/>
  <c r="Q32" i="13"/>
  <c r="R32" i="13" s="1"/>
  <c r="Q40" i="13"/>
  <c r="R40" i="13" s="1"/>
  <c r="Q48" i="13"/>
  <c r="R48" i="13" s="1"/>
  <c r="R24" i="13"/>
  <c r="Q27" i="13"/>
  <c r="R27" i="13" s="1"/>
  <c r="Q35" i="13"/>
  <c r="R35" i="13" s="1"/>
  <c r="Q43" i="13"/>
  <c r="R43" i="13" s="1"/>
  <c r="Q51" i="13"/>
  <c r="R51" i="13" s="1"/>
  <c r="Q26" i="13"/>
  <c r="R26" i="13" s="1"/>
  <c r="Q34" i="13"/>
  <c r="R34" i="13" s="1"/>
  <c r="Q42" i="13"/>
  <c r="R42" i="13" s="1"/>
  <c r="Q50" i="13"/>
  <c r="R50" i="13" s="1"/>
  <c r="P33" i="14"/>
  <c r="Q33" i="14" s="1"/>
  <c r="E33" i="14"/>
  <c r="Q49" i="12"/>
  <c r="R49" i="12" s="1"/>
  <c r="Q27" i="12"/>
  <c r="R27" i="12" s="1"/>
  <c r="Q31" i="12"/>
  <c r="Q35" i="12"/>
  <c r="R35" i="12" s="1"/>
  <c r="Q43" i="12"/>
  <c r="R43" i="12" s="1"/>
  <c r="Q47" i="12"/>
  <c r="R47" i="12" s="1"/>
  <c r="Q51" i="12"/>
  <c r="Q26" i="12"/>
  <c r="R26" i="12" s="1"/>
  <c r="Q30" i="12"/>
  <c r="R30" i="12" s="1"/>
  <c r="Q38" i="12"/>
  <c r="R38" i="12" s="1"/>
  <c r="Q42" i="12"/>
  <c r="R42" i="12" s="1"/>
  <c r="Q46" i="12"/>
  <c r="R46" i="12" s="1"/>
  <c r="Q23" i="12"/>
  <c r="R23" i="12" s="1"/>
  <c r="Q40" i="12"/>
  <c r="R40" i="12" s="1"/>
  <c r="R37" i="12"/>
  <c r="R41" i="12"/>
  <c r="Q24" i="12"/>
  <c r="R24" i="12" s="1"/>
  <c r="Q39" i="12"/>
  <c r="R39" i="12" s="1"/>
  <c r="J53" i="12"/>
  <c r="R25" i="12"/>
  <c r="J32" i="14"/>
  <c r="P32" i="14"/>
  <c r="E32" i="14"/>
  <c r="G71" i="13"/>
  <c r="G71" i="12"/>
  <c r="Q41" i="11"/>
  <c r="R41" i="11" s="1"/>
  <c r="Q45" i="11"/>
  <c r="R45" i="11" s="1"/>
  <c r="Q31" i="11"/>
  <c r="Q35" i="11"/>
  <c r="R35" i="11" s="1"/>
  <c r="Q26" i="11"/>
  <c r="R26" i="11" s="1"/>
  <c r="Q30" i="11"/>
  <c r="R30" i="11" s="1"/>
  <c r="Q34" i="11"/>
  <c r="R34" i="11" s="1"/>
  <c r="Q47" i="11"/>
  <c r="R47" i="11" s="1"/>
  <c r="Q51" i="11"/>
  <c r="R51" i="11" s="1"/>
  <c r="Q44" i="11"/>
  <c r="R44" i="11" s="1"/>
  <c r="Q27" i="11"/>
  <c r="R27" i="11" s="1"/>
  <c r="Q28" i="11"/>
  <c r="R28" i="11" s="1"/>
  <c r="R25" i="11"/>
  <c r="R29" i="11"/>
  <c r="R46" i="11"/>
  <c r="R50" i="11"/>
  <c r="E31" i="14"/>
  <c r="P31" i="14"/>
  <c r="J31" i="14"/>
  <c r="G70" i="11"/>
  <c r="Q45" i="10"/>
  <c r="R45" i="10" s="1"/>
  <c r="Q49" i="10"/>
  <c r="R49" i="10" s="1"/>
  <c r="Q23" i="10"/>
  <c r="R23" i="10" s="1"/>
  <c r="Q27" i="10"/>
  <c r="R27" i="10" s="1"/>
  <c r="Q35" i="10"/>
  <c r="R35" i="10" s="1"/>
  <c r="Q39" i="10"/>
  <c r="R39" i="10" s="1"/>
  <c r="Q30" i="10"/>
  <c r="R30" i="10" s="1"/>
  <c r="Q34" i="10"/>
  <c r="R34" i="10" s="1"/>
  <c r="Q38" i="10"/>
  <c r="R38" i="10" s="1"/>
  <c r="Q51" i="10"/>
  <c r="Q48" i="10"/>
  <c r="R48" i="10" s="1"/>
  <c r="Q32" i="10"/>
  <c r="R32" i="10" s="1"/>
  <c r="Q31" i="10"/>
  <c r="R31" i="10" s="1"/>
  <c r="R29" i="10"/>
  <c r="R33" i="10"/>
  <c r="R50" i="10"/>
  <c r="P30" i="14"/>
  <c r="J30" i="14"/>
  <c r="G69" i="11"/>
  <c r="G69" i="10"/>
  <c r="Q29" i="9"/>
  <c r="R29" i="9" s="1"/>
  <c r="Q33" i="9"/>
  <c r="R33" i="9" s="1"/>
  <c r="Q37" i="9"/>
  <c r="Q45" i="9"/>
  <c r="R45" i="9" s="1"/>
  <c r="Q49" i="9"/>
  <c r="R49" i="9" s="1"/>
  <c r="Q26" i="9"/>
  <c r="Q34" i="9"/>
  <c r="R34" i="9" s="1"/>
  <c r="R37" i="9"/>
  <c r="Q38" i="9"/>
  <c r="R38" i="9" s="1"/>
  <c r="Q42" i="9"/>
  <c r="R42" i="9" s="1"/>
  <c r="Q50" i="9"/>
  <c r="R50" i="9" s="1"/>
  <c r="Q23" i="9"/>
  <c r="R23" i="9" s="1"/>
  <c r="Q27" i="9"/>
  <c r="R27" i="9" s="1"/>
  <c r="Q36" i="9"/>
  <c r="R36" i="9" s="1"/>
  <c r="Q51" i="9"/>
  <c r="R51" i="9" s="1"/>
  <c r="R26" i="9"/>
  <c r="P29" i="14"/>
  <c r="Q29" i="14" s="1"/>
  <c r="E29" i="14"/>
  <c r="G68" i="10"/>
  <c r="G68" i="9"/>
  <c r="Q27" i="8"/>
  <c r="Q31" i="8"/>
  <c r="Q35" i="8"/>
  <c r="Q43" i="8"/>
  <c r="R43" i="8" s="1"/>
  <c r="Q47" i="8"/>
  <c r="Q51" i="8"/>
  <c r="R51" i="8" s="1"/>
  <c r="Q26" i="8"/>
  <c r="R26" i="8" s="1"/>
  <c r="Q30" i="8"/>
  <c r="R30" i="8" s="1"/>
  <c r="Q38" i="8"/>
  <c r="Q42" i="8"/>
  <c r="R42" i="8" s="1"/>
  <c r="Q46" i="8"/>
  <c r="R46" i="8" s="1"/>
  <c r="J53" i="8"/>
  <c r="Q23" i="8"/>
  <c r="R25" i="8"/>
  <c r="Q40" i="8"/>
  <c r="R40" i="8" s="1"/>
  <c r="R37" i="8"/>
  <c r="Q39" i="8"/>
  <c r="R39" i="8" s="1"/>
  <c r="R41" i="8"/>
  <c r="O34" i="14"/>
  <c r="P28" i="14"/>
  <c r="J28" i="14"/>
  <c r="C34" i="14"/>
  <c r="E28" i="14"/>
  <c r="G66" i="12"/>
  <c r="G66" i="8"/>
  <c r="G66" i="7"/>
  <c r="Q49" i="6"/>
  <c r="M34" i="14"/>
  <c r="Q24" i="6"/>
  <c r="Q29" i="6"/>
  <c r="Q33" i="6"/>
  <c r="R33" i="6" s="1"/>
  <c r="Q37" i="6"/>
  <c r="Q45" i="6"/>
  <c r="R45" i="6" s="1"/>
  <c r="Q28" i="6"/>
  <c r="Q32" i="6"/>
  <c r="R32" i="6" s="1"/>
  <c r="Q40" i="6"/>
  <c r="R40" i="6" s="1"/>
  <c r="Q44" i="6"/>
  <c r="R44" i="6" s="1"/>
  <c r="Q48" i="6"/>
  <c r="R48" i="6" s="1"/>
  <c r="Q23" i="6"/>
  <c r="R23" i="6" s="1"/>
  <c r="Q27" i="6"/>
  <c r="R27" i="6" s="1"/>
  <c r="Q35" i="6"/>
  <c r="R35" i="6" s="1"/>
  <c r="Q39" i="6"/>
  <c r="R39" i="6" s="1"/>
  <c r="Q43" i="6"/>
  <c r="R43" i="6" s="1"/>
  <c r="Q51" i="6"/>
  <c r="R51" i="6" s="1"/>
  <c r="Q26" i="6"/>
  <c r="R28" i="6"/>
  <c r="Q25" i="6"/>
  <c r="R25" i="6" s="1"/>
  <c r="Q42" i="6"/>
  <c r="R42" i="6" s="1"/>
  <c r="Q41" i="6"/>
  <c r="R41" i="6" s="1"/>
  <c r="P26" i="14"/>
  <c r="J26" i="14"/>
  <c r="Q29" i="5"/>
  <c r="R29" i="5" s="1"/>
  <c r="Q33" i="5"/>
  <c r="Q25" i="5"/>
  <c r="R25" i="5" s="1"/>
  <c r="Q37" i="5"/>
  <c r="R37" i="5" s="1"/>
  <c r="Q41" i="5"/>
  <c r="R41" i="5" s="1"/>
  <c r="Q45" i="5"/>
  <c r="R45" i="5" s="1"/>
  <c r="Q49" i="5"/>
  <c r="R49" i="5" s="1"/>
  <c r="Q28" i="5"/>
  <c r="R28" i="5" s="1"/>
  <c r="Q32" i="5"/>
  <c r="Q44" i="5"/>
  <c r="R44" i="5" s="1"/>
  <c r="Q48" i="5"/>
  <c r="R48" i="5" s="1"/>
  <c r="Q52" i="5"/>
  <c r="R52" i="5" s="1"/>
  <c r="Q27" i="5"/>
  <c r="R27" i="5" s="1"/>
  <c r="Q39" i="5"/>
  <c r="R39" i="5" s="1"/>
  <c r="Q43" i="5"/>
  <c r="R43" i="5" s="1"/>
  <c r="Q26" i="5"/>
  <c r="R26" i="5" s="1"/>
  <c r="Q30" i="5"/>
  <c r="R30" i="5" s="1"/>
  <c r="J53" i="5"/>
  <c r="Q42" i="5"/>
  <c r="R42" i="5" s="1"/>
  <c r="Q46" i="5"/>
  <c r="R46" i="5" s="1"/>
  <c r="R32" i="5"/>
  <c r="L34" i="14"/>
  <c r="P25" i="14"/>
  <c r="J25" i="14"/>
  <c r="G64" i="10"/>
  <c r="Q23" i="4"/>
  <c r="R23" i="4" s="1"/>
  <c r="Q27" i="4"/>
  <c r="Q31" i="4"/>
  <c r="R31" i="4" s="1"/>
  <c r="Q42" i="4"/>
  <c r="R42" i="4" s="1"/>
  <c r="Q46" i="4"/>
  <c r="Q35" i="4"/>
  <c r="R35" i="4" s="1"/>
  <c r="Q39" i="4"/>
  <c r="Q43" i="4"/>
  <c r="R43" i="4" s="1"/>
  <c r="R46" i="4"/>
  <c r="Q47" i="4"/>
  <c r="R47" i="4" s="1"/>
  <c r="Q51" i="4"/>
  <c r="R51" i="4" s="1"/>
  <c r="Q26" i="4"/>
  <c r="R26" i="4" s="1"/>
  <c r="Q30" i="4"/>
  <c r="R30" i="4" s="1"/>
  <c r="Q25" i="4"/>
  <c r="R25" i="4" s="1"/>
  <c r="Q37" i="4"/>
  <c r="R37" i="4" s="1"/>
  <c r="Q41" i="4"/>
  <c r="R41" i="4" s="1"/>
  <c r="Q40" i="4"/>
  <c r="R40" i="4" s="1"/>
  <c r="Q44" i="4"/>
  <c r="Q28" i="4"/>
  <c r="R28" i="4" s="1"/>
  <c r="P24" i="14"/>
  <c r="J24" i="14"/>
  <c r="G67" i="9"/>
  <c r="G67" i="13"/>
  <c r="Q31" i="7"/>
  <c r="R31" i="7" s="1"/>
  <c r="Q35" i="7"/>
  <c r="Q39" i="7"/>
  <c r="Q26" i="7"/>
  <c r="R26" i="7" s="1"/>
  <c r="Q42" i="7"/>
  <c r="R42" i="7" s="1"/>
  <c r="Q46" i="7"/>
  <c r="Q50" i="7"/>
  <c r="Q47" i="7"/>
  <c r="R47" i="7" s="1"/>
  <c r="Q51" i="7"/>
  <c r="R51" i="7" s="1"/>
  <c r="Q30" i="7"/>
  <c r="R30" i="7" s="1"/>
  <c r="Q34" i="7"/>
  <c r="R34" i="7" s="1"/>
  <c r="Q25" i="7"/>
  <c r="R25" i="7" s="1"/>
  <c r="Q29" i="7"/>
  <c r="R29" i="7" s="1"/>
  <c r="Q37" i="7"/>
  <c r="R46" i="7"/>
  <c r="R50" i="7"/>
  <c r="Q28" i="7"/>
  <c r="R28" i="7" s="1"/>
  <c r="Q23" i="7"/>
  <c r="P27" i="14"/>
  <c r="J27" i="14"/>
  <c r="E27" i="14"/>
  <c r="G63" i="13"/>
  <c r="G63" i="6"/>
  <c r="Q35" i="3"/>
  <c r="R35" i="3" s="1"/>
  <c r="Q39" i="3"/>
  <c r="R39" i="3" s="1"/>
  <c r="Q23" i="3"/>
  <c r="Q43" i="3"/>
  <c r="R43" i="3" s="1"/>
  <c r="Q47" i="3"/>
  <c r="R47" i="3" s="1"/>
  <c r="Q51" i="3"/>
  <c r="R51" i="3" s="1"/>
  <c r="Q25" i="3"/>
  <c r="R25" i="3" s="1"/>
  <c r="Q26" i="3"/>
  <c r="R26" i="3" s="1"/>
  <c r="Q31" i="3"/>
  <c r="R31" i="3" s="1"/>
  <c r="Q30" i="3"/>
  <c r="R30" i="3" s="1"/>
  <c r="Q34" i="3"/>
  <c r="R34" i="3" s="1"/>
  <c r="Q38" i="3"/>
  <c r="R38" i="3" s="1"/>
  <c r="Q42" i="3"/>
  <c r="R42" i="3" s="1"/>
  <c r="Q46" i="3"/>
  <c r="R46" i="3" s="1"/>
  <c r="Q29" i="3"/>
  <c r="R29" i="3" s="1"/>
  <c r="Q33" i="3"/>
  <c r="R33" i="3" s="1"/>
  <c r="Q37" i="3"/>
  <c r="R37" i="3" s="1"/>
  <c r="Q41" i="3"/>
  <c r="R41" i="3" s="1"/>
  <c r="Q45" i="3"/>
  <c r="R45" i="3" s="1"/>
  <c r="Q49" i="3"/>
  <c r="R49" i="3" s="1"/>
  <c r="R23" i="3"/>
  <c r="Q48" i="3"/>
  <c r="R48" i="3" s="1"/>
  <c r="R50" i="3"/>
  <c r="Q28" i="3"/>
  <c r="R28" i="3" s="1"/>
  <c r="Q32" i="3"/>
  <c r="R32" i="3" s="1"/>
  <c r="Q36" i="3"/>
  <c r="R36" i="3" s="1"/>
  <c r="Q52" i="3"/>
  <c r="R52" i="3" s="1"/>
  <c r="Q40" i="3"/>
  <c r="R40" i="3" s="1"/>
  <c r="N34" i="14"/>
  <c r="P23" i="14"/>
  <c r="I34" i="14"/>
  <c r="H34" i="14"/>
  <c r="G34" i="14"/>
  <c r="J23" i="14"/>
  <c r="B24" i="14"/>
  <c r="E24" i="14" s="1"/>
  <c r="B23" i="14"/>
  <c r="E23" i="14" s="1"/>
  <c r="Q51" i="2"/>
  <c r="R51" i="2" s="1"/>
  <c r="Q27" i="2"/>
  <c r="Q43" i="2"/>
  <c r="R43" i="2" s="1"/>
  <c r="Q35" i="2"/>
  <c r="R35" i="2" s="1"/>
  <c r="P22" i="14"/>
  <c r="K34" i="14"/>
  <c r="E22" i="14"/>
  <c r="G65" i="11"/>
  <c r="Q44" i="3"/>
  <c r="D34" i="14"/>
  <c r="F34" i="14"/>
  <c r="J22" i="14"/>
  <c r="R23" i="13"/>
  <c r="R30" i="13"/>
  <c r="R31" i="13"/>
  <c r="R39" i="13"/>
  <c r="R46" i="13"/>
  <c r="R47" i="13"/>
  <c r="J53" i="13"/>
  <c r="G66" i="13"/>
  <c r="G70" i="13"/>
  <c r="P53" i="13"/>
  <c r="G65" i="13"/>
  <c r="G69" i="13"/>
  <c r="Q22" i="13"/>
  <c r="R22" i="13" s="1"/>
  <c r="Q28" i="13"/>
  <c r="R28" i="13" s="1"/>
  <c r="Q36" i="13"/>
  <c r="R36" i="13" s="1"/>
  <c r="Q44" i="13"/>
  <c r="R44" i="13" s="1"/>
  <c r="Q52" i="13"/>
  <c r="R52" i="13" s="1"/>
  <c r="G64" i="13"/>
  <c r="G68" i="13"/>
  <c r="R25" i="13"/>
  <c r="G62" i="13"/>
  <c r="G70" i="12"/>
  <c r="R31" i="12"/>
  <c r="Q28" i="12"/>
  <c r="R28" i="12" s="1"/>
  <c r="Q44" i="12"/>
  <c r="R44" i="12" s="1"/>
  <c r="R51" i="12"/>
  <c r="Q32" i="12"/>
  <c r="R32" i="12" s="1"/>
  <c r="Q48" i="12"/>
  <c r="R48" i="12" s="1"/>
  <c r="G64" i="12"/>
  <c r="G68" i="12"/>
  <c r="P53" i="12"/>
  <c r="G65" i="12"/>
  <c r="G69" i="12"/>
  <c r="E53" i="12"/>
  <c r="Q29" i="12"/>
  <c r="R29" i="12" s="1"/>
  <c r="Q34" i="12"/>
  <c r="R34" i="12" s="1"/>
  <c r="Q36" i="12"/>
  <c r="R36" i="12" s="1"/>
  <c r="Q45" i="12"/>
  <c r="R45" i="12" s="1"/>
  <c r="Q50" i="12"/>
  <c r="R50" i="12" s="1"/>
  <c r="Q52" i="12"/>
  <c r="R52" i="12" s="1"/>
  <c r="G63" i="12"/>
  <c r="G67" i="12"/>
  <c r="R33" i="12"/>
  <c r="G62" i="12"/>
  <c r="Q22" i="12"/>
  <c r="Q36" i="11"/>
  <c r="R36" i="11" s="1"/>
  <c r="R43" i="11"/>
  <c r="Q52" i="11"/>
  <c r="R52" i="11" s="1"/>
  <c r="G63" i="11"/>
  <c r="G67" i="11"/>
  <c r="Q32" i="11"/>
  <c r="R32" i="11" s="1"/>
  <c r="R39" i="11"/>
  <c r="Q48" i="11"/>
  <c r="R48" i="11" s="1"/>
  <c r="G64" i="11"/>
  <c r="G68" i="11"/>
  <c r="J53" i="11"/>
  <c r="P53" i="11"/>
  <c r="R31" i="11"/>
  <c r="Q33" i="11"/>
  <c r="R33" i="11" s="1"/>
  <c r="Q38" i="11"/>
  <c r="R38" i="11" s="1"/>
  <c r="Q40" i="11"/>
  <c r="R40" i="11" s="1"/>
  <c r="Q49" i="11"/>
  <c r="R49" i="11" s="1"/>
  <c r="G66" i="11"/>
  <c r="R37" i="11"/>
  <c r="R42" i="11"/>
  <c r="Q24" i="11"/>
  <c r="R24" i="11" s="1"/>
  <c r="E53" i="11"/>
  <c r="G62" i="11"/>
  <c r="Q22" i="11"/>
  <c r="R22" i="11" s="1"/>
  <c r="E53" i="10"/>
  <c r="Q36" i="10"/>
  <c r="R36" i="10" s="1"/>
  <c r="R43" i="10"/>
  <c r="Q52" i="10"/>
  <c r="R52" i="10" s="1"/>
  <c r="J53" i="10"/>
  <c r="P53" i="10"/>
  <c r="Q40" i="10"/>
  <c r="R40" i="10" s="1"/>
  <c r="R47" i="10"/>
  <c r="G66" i="10"/>
  <c r="G63" i="10"/>
  <c r="G67" i="10"/>
  <c r="Q26" i="10"/>
  <c r="R26" i="10" s="1"/>
  <c r="Q28" i="10"/>
  <c r="R28" i="10" s="1"/>
  <c r="Q37" i="10"/>
  <c r="R37" i="10" s="1"/>
  <c r="Q42" i="10"/>
  <c r="R42" i="10" s="1"/>
  <c r="Q44" i="10"/>
  <c r="R44" i="10" s="1"/>
  <c r="R51" i="10"/>
  <c r="G65" i="10"/>
  <c r="R25" i="10"/>
  <c r="R41" i="10"/>
  <c r="R46" i="10"/>
  <c r="G62" i="10"/>
  <c r="Q24" i="10"/>
  <c r="R24" i="10" s="1"/>
  <c r="Q22" i="10"/>
  <c r="R22" i="10" s="1"/>
  <c r="R31" i="9"/>
  <c r="Q28" i="9"/>
  <c r="R28" i="9" s="1"/>
  <c r="Q44" i="9"/>
  <c r="R44" i="9" s="1"/>
  <c r="G65" i="9"/>
  <c r="R43" i="9"/>
  <c r="Q40" i="9"/>
  <c r="R40" i="9" s="1"/>
  <c r="R47" i="9"/>
  <c r="G66" i="9"/>
  <c r="Q25" i="9"/>
  <c r="R25" i="9" s="1"/>
  <c r="Q30" i="9"/>
  <c r="R30" i="9" s="1"/>
  <c r="Q32" i="9"/>
  <c r="R32" i="9" s="1"/>
  <c r="R39" i="9"/>
  <c r="Q41" i="9"/>
  <c r="R41" i="9" s="1"/>
  <c r="Q46" i="9"/>
  <c r="R46" i="9" s="1"/>
  <c r="Q48" i="9"/>
  <c r="R48" i="9" s="1"/>
  <c r="G64" i="9"/>
  <c r="R52" i="9"/>
  <c r="Q24" i="9"/>
  <c r="R24" i="9" s="1"/>
  <c r="G62" i="9"/>
  <c r="Q22" i="9"/>
  <c r="G67" i="8"/>
  <c r="P53" i="8"/>
  <c r="R31" i="8"/>
  <c r="R47" i="8"/>
  <c r="Q28" i="8"/>
  <c r="R28" i="8" s="1"/>
  <c r="R35" i="8"/>
  <c r="Q44" i="8"/>
  <c r="R44" i="8" s="1"/>
  <c r="G65" i="8"/>
  <c r="R23" i="8"/>
  <c r="Q32" i="8"/>
  <c r="R32" i="8" s="1"/>
  <c r="Q48" i="8"/>
  <c r="R48" i="8" s="1"/>
  <c r="G64" i="8"/>
  <c r="E53" i="8"/>
  <c r="R27" i="8"/>
  <c r="Q29" i="8"/>
  <c r="R29" i="8" s="1"/>
  <c r="Q34" i="8"/>
  <c r="R34" i="8" s="1"/>
  <c r="Q36" i="8"/>
  <c r="R36" i="8" s="1"/>
  <c r="Q45" i="8"/>
  <c r="R45" i="8" s="1"/>
  <c r="Q50" i="8"/>
  <c r="R50" i="8" s="1"/>
  <c r="Q52" i="8"/>
  <c r="R52" i="8" s="1"/>
  <c r="G63" i="8"/>
  <c r="R33" i="8"/>
  <c r="R38" i="8"/>
  <c r="R49" i="8"/>
  <c r="Q24" i="8"/>
  <c r="R24" i="8" s="1"/>
  <c r="G62" i="8"/>
  <c r="Q22" i="8"/>
  <c r="Q27" i="7"/>
  <c r="R27" i="7" s="1"/>
  <c r="Q44" i="7"/>
  <c r="R44" i="7" s="1"/>
  <c r="G65" i="7"/>
  <c r="Q43" i="7"/>
  <c r="Q41" i="7"/>
  <c r="R41" i="7" s="1"/>
  <c r="Q45" i="7"/>
  <c r="R45" i="7" s="1"/>
  <c r="R35" i="7"/>
  <c r="R23" i="7"/>
  <c r="Q32" i="7"/>
  <c r="R32" i="7" s="1"/>
  <c r="R39" i="7"/>
  <c r="Q48" i="7"/>
  <c r="R48" i="7" s="1"/>
  <c r="G64" i="7"/>
  <c r="E53" i="7"/>
  <c r="Q36" i="7"/>
  <c r="R36" i="7" s="1"/>
  <c r="R43" i="7"/>
  <c r="Q52" i="7"/>
  <c r="R52" i="7" s="1"/>
  <c r="G63" i="7"/>
  <c r="J53" i="7"/>
  <c r="P53" i="7"/>
  <c r="Q33" i="7"/>
  <c r="R33" i="7" s="1"/>
  <c r="Q38" i="7"/>
  <c r="R38" i="7" s="1"/>
  <c r="Q40" i="7"/>
  <c r="R40" i="7" s="1"/>
  <c r="Q49" i="7"/>
  <c r="R49" i="7" s="1"/>
  <c r="R37" i="7"/>
  <c r="Q24" i="7"/>
  <c r="R24" i="7" s="1"/>
  <c r="G62" i="7"/>
  <c r="Q22" i="7"/>
  <c r="R22" i="7" s="1"/>
  <c r="G65" i="6"/>
  <c r="R37" i="6"/>
  <c r="Q34" i="6"/>
  <c r="R34" i="6" s="1"/>
  <c r="Q50" i="6"/>
  <c r="R50" i="6" s="1"/>
  <c r="G64" i="6"/>
  <c r="R49" i="6"/>
  <c r="Q30" i="6"/>
  <c r="R30" i="6" s="1"/>
  <c r="Q46" i="6"/>
  <c r="R46" i="6" s="1"/>
  <c r="P53" i="6"/>
  <c r="E53" i="6"/>
  <c r="R29" i="6"/>
  <c r="Q31" i="6"/>
  <c r="R31" i="6" s="1"/>
  <c r="Q36" i="6"/>
  <c r="R36" i="6" s="1"/>
  <c r="Q38" i="6"/>
  <c r="R38" i="6" s="1"/>
  <c r="Q47" i="6"/>
  <c r="R47" i="6" s="1"/>
  <c r="Q52" i="6"/>
  <c r="R52" i="6" s="1"/>
  <c r="R26" i="6"/>
  <c r="R24" i="6"/>
  <c r="G62" i="6"/>
  <c r="Q22" i="6"/>
  <c r="J53" i="6"/>
  <c r="G63" i="5"/>
  <c r="Q34" i="5"/>
  <c r="R34" i="5" s="1"/>
  <c r="Q50" i="5"/>
  <c r="R50" i="5" s="1"/>
  <c r="P53" i="5"/>
  <c r="E53" i="5"/>
  <c r="Q31" i="5"/>
  <c r="R31" i="5" s="1"/>
  <c r="Q36" i="5"/>
  <c r="R36" i="5" s="1"/>
  <c r="Q38" i="5"/>
  <c r="R38" i="5" s="1"/>
  <c r="Q47" i="5"/>
  <c r="R47" i="5" s="1"/>
  <c r="Q24" i="5"/>
  <c r="R24" i="5" s="1"/>
  <c r="R33" i="5"/>
  <c r="Q35" i="5"/>
  <c r="R35" i="5" s="1"/>
  <c r="Q40" i="5"/>
  <c r="R40" i="5" s="1"/>
  <c r="Q51" i="5"/>
  <c r="R51" i="5" s="1"/>
  <c r="G62" i="5"/>
  <c r="Q22" i="5"/>
  <c r="Q23" i="5"/>
  <c r="R23" i="5" s="1"/>
  <c r="Q32" i="4"/>
  <c r="R39" i="4"/>
  <c r="Q48" i="4"/>
  <c r="R48" i="4" s="1"/>
  <c r="R27" i="4"/>
  <c r="Q29" i="4"/>
  <c r="R29" i="4" s="1"/>
  <c r="Q34" i="4"/>
  <c r="R34" i="4" s="1"/>
  <c r="Q36" i="4"/>
  <c r="R36" i="4" s="1"/>
  <c r="Q45" i="4"/>
  <c r="R45" i="4" s="1"/>
  <c r="Q50" i="4"/>
  <c r="R50" i="4" s="1"/>
  <c r="Q52" i="4"/>
  <c r="R52" i="4" s="1"/>
  <c r="R32" i="4"/>
  <c r="Q33" i="4"/>
  <c r="Q38" i="4"/>
  <c r="R38" i="4" s="1"/>
  <c r="Q49" i="4"/>
  <c r="R49" i="4" s="1"/>
  <c r="R33" i="4"/>
  <c r="Q24" i="4"/>
  <c r="R24" i="4" s="1"/>
  <c r="Q22" i="4"/>
  <c r="G62" i="3"/>
  <c r="Q24" i="3"/>
  <c r="R24" i="3" s="1"/>
  <c r="Q22" i="3"/>
  <c r="Q52" i="2"/>
  <c r="R52" i="2" s="1"/>
  <c r="Q28" i="2"/>
  <c r="Q36" i="2"/>
  <c r="R36" i="2" s="1"/>
  <c r="Q44" i="2"/>
  <c r="R44" i="2" s="1"/>
  <c r="Q48" i="2"/>
  <c r="R48" i="2" s="1"/>
  <c r="Q40" i="2"/>
  <c r="R40" i="2" s="1"/>
  <c r="Q32" i="2"/>
  <c r="R32" i="2" s="1"/>
  <c r="Q47" i="2"/>
  <c r="R47" i="2" s="1"/>
  <c r="Q39" i="2"/>
  <c r="R39" i="2" s="1"/>
  <c r="Q31" i="2"/>
  <c r="R31" i="2" s="1"/>
  <c r="Q23" i="2"/>
  <c r="R23" i="2" s="1"/>
  <c r="Q50" i="2"/>
  <c r="R50" i="2" s="1"/>
  <c r="Q42" i="2"/>
  <c r="R42" i="2" s="1"/>
  <c r="Q34" i="2"/>
  <c r="R34" i="2" s="1"/>
  <c r="Q26" i="2"/>
  <c r="R26" i="2" s="1"/>
  <c r="Q49" i="2"/>
  <c r="R49" i="2" s="1"/>
  <c r="Q41" i="2"/>
  <c r="R41" i="2" s="1"/>
  <c r="Q33" i="2"/>
  <c r="R33" i="2" s="1"/>
  <c r="Q25" i="2"/>
  <c r="R25" i="2" s="1"/>
  <c r="Q24" i="2"/>
  <c r="R24" i="2" s="1"/>
  <c r="Q46" i="2"/>
  <c r="R46" i="2" s="1"/>
  <c r="Q38" i="2"/>
  <c r="R38" i="2" s="1"/>
  <c r="Q30" i="2"/>
  <c r="R30" i="2" s="1"/>
  <c r="Q22" i="2"/>
  <c r="Q45" i="2"/>
  <c r="R45" i="2" s="1"/>
  <c r="Q37" i="2"/>
  <c r="R37" i="2" s="1"/>
  <c r="Q29" i="2"/>
  <c r="R29" i="2" s="1"/>
  <c r="R28" i="2"/>
  <c r="R27" i="2"/>
  <c r="R53" i="13" l="1"/>
  <c r="J73" i="13" s="1"/>
  <c r="R22" i="9"/>
  <c r="Q53" i="9"/>
  <c r="R53" i="9"/>
  <c r="J69" i="9" s="1"/>
  <c r="Q53" i="4"/>
  <c r="S53" i="4" s="1"/>
  <c r="B34" i="14"/>
  <c r="R44" i="4"/>
  <c r="R44" i="3"/>
  <c r="Q53" i="3"/>
  <c r="S53" i="3" s="1"/>
  <c r="R22" i="2"/>
  <c r="R53" i="2" s="1"/>
  <c r="Q53" i="2"/>
  <c r="S53" i="2" s="1"/>
  <c r="R33" i="14"/>
  <c r="Q32" i="14"/>
  <c r="R32" i="14" s="1"/>
  <c r="Q31" i="14"/>
  <c r="R31" i="14" s="1"/>
  <c r="Q30" i="14"/>
  <c r="R30" i="14" s="1"/>
  <c r="R29" i="14"/>
  <c r="Q28" i="14"/>
  <c r="R28" i="14" s="1"/>
  <c r="Q53" i="6"/>
  <c r="S53" i="6" s="1"/>
  <c r="Q26" i="14"/>
  <c r="R26" i="14" s="1"/>
  <c r="Q25" i="14"/>
  <c r="R25" i="14" s="1"/>
  <c r="Q24" i="14"/>
  <c r="R24" i="14" s="1"/>
  <c r="Q27" i="14"/>
  <c r="R27" i="14" s="1"/>
  <c r="P34" i="14"/>
  <c r="Q23" i="14"/>
  <c r="R23" i="14" s="1"/>
  <c r="E34" i="14"/>
  <c r="Q22" i="14"/>
  <c r="J34" i="14"/>
  <c r="Q53" i="13"/>
  <c r="S53" i="13" s="1"/>
  <c r="Q53" i="12"/>
  <c r="S53" i="12" s="1"/>
  <c r="R22" i="12"/>
  <c r="R53" i="12" s="1"/>
  <c r="R53" i="11"/>
  <c r="Q53" i="11"/>
  <c r="S53" i="11" s="1"/>
  <c r="Q53" i="10"/>
  <c r="S53" i="10" s="1"/>
  <c r="R53" i="10"/>
  <c r="S53" i="9"/>
  <c r="Q53" i="8"/>
  <c r="S53" i="8" s="1"/>
  <c r="R22" i="8"/>
  <c r="R53" i="8" s="1"/>
  <c r="R53" i="7"/>
  <c r="Q53" i="7"/>
  <c r="S53" i="7" s="1"/>
  <c r="R22" i="6"/>
  <c r="R53" i="6" s="1"/>
  <c r="Q53" i="5"/>
  <c r="S53" i="5" s="1"/>
  <c r="R22" i="5"/>
  <c r="R53" i="5" s="1"/>
  <c r="R22" i="4"/>
  <c r="R22" i="3"/>
  <c r="L69" i="9" l="1"/>
  <c r="R53" i="4"/>
  <c r="N64" i="4" s="1"/>
  <c r="R53" i="3"/>
  <c r="M63" i="3" s="1"/>
  <c r="K71" i="11"/>
  <c r="N71" i="11"/>
  <c r="J71" i="11"/>
  <c r="M71" i="11"/>
  <c r="L71" i="11"/>
  <c r="L70" i="10"/>
  <c r="K70" i="10"/>
  <c r="N70" i="10"/>
  <c r="J70" i="10"/>
  <c r="M70" i="10"/>
  <c r="K69" i="9"/>
  <c r="M69" i="9"/>
  <c r="N69" i="9"/>
  <c r="N67" i="7"/>
  <c r="J67" i="7"/>
  <c r="L67" i="7"/>
  <c r="M67" i="7"/>
  <c r="K67" i="7"/>
  <c r="M66" i="6"/>
  <c r="L66" i="6"/>
  <c r="K66" i="6"/>
  <c r="N66" i="6"/>
  <c r="J66" i="6"/>
  <c r="N65" i="5"/>
  <c r="J65" i="5"/>
  <c r="M65" i="5"/>
  <c r="L65" i="5"/>
  <c r="K65" i="5"/>
  <c r="M68" i="8"/>
  <c r="L68" i="8"/>
  <c r="K68" i="8"/>
  <c r="N68" i="8"/>
  <c r="J68" i="8"/>
  <c r="M62" i="2"/>
  <c r="M62" i="13" s="1"/>
  <c r="J62" i="2"/>
  <c r="L73" i="13"/>
  <c r="L54" i="14" s="1"/>
  <c r="M73" i="13"/>
  <c r="M54" i="14" s="1"/>
  <c r="N73" i="13"/>
  <c r="N54" i="14" s="1"/>
  <c r="K73" i="13"/>
  <c r="K72" i="12"/>
  <c r="N72" i="12"/>
  <c r="J72" i="12"/>
  <c r="M72" i="12"/>
  <c r="L72" i="12"/>
  <c r="L62" i="2"/>
  <c r="R22" i="14"/>
  <c r="R34" i="14" s="1"/>
  <c r="Q34" i="14"/>
  <c r="S34" i="14" s="1"/>
  <c r="N62" i="2"/>
  <c r="K62" i="2"/>
  <c r="K64" i="4" l="1"/>
  <c r="K64" i="13" s="1"/>
  <c r="M64" i="4"/>
  <c r="M64" i="6" s="1"/>
  <c r="J64" i="4"/>
  <c r="L64" i="4"/>
  <c r="L64" i="5" s="1"/>
  <c r="J63" i="3"/>
  <c r="J63" i="11" s="1"/>
  <c r="L63" i="3"/>
  <c r="L63" i="12" s="1"/>
  <c r="K63" i="3"/>
  <c r="K63" i="5" s="1"/>
  <c r="N63" i="3"/>
  <c r="N63" i="9" s="1"/>
  <c r="O73" i="13"/>
  <c r="O62" i="2"/>
  <c r="M62" i="11"/>
  <c r="M62" i="4"/>
  <c r="M62" i="5"/>
  <c r="M62" i="8"/>
  <c r="M62" i="3"/>
  <c r="M62" i="10"/>
  <c r="M62" i="6"/>
  <c r="M62" i="7"/>
  <c r="M62" i="9"/>
  <c r="M62" i="12"/>
  <c r="M43" i="14"/>
  <c r="K54" i="14"/>
  <c r="J63" i="7"/>
  <c r="J54" i="14"/>
  <c r="N49" i="14"/>
  <c r="N68" i="13"/>
  <c r="N68" i="12"/>
  <c r="N68" i="11"/>
  <c r="N68" i="9"/>
  <c r="N68" i="10"/>
  <c r="N52" i="14"/>
  <c r="N71" i="13"/>
  <c r="N71" i="12"/>
  <c r="N46" i="14"/>
  <c r="N65" i="10"/>
  <c r="N65" i="9"/>
  <c r="N65" i="6"/>
  <c r="N65" i="13"/>
  <c r="N65" i="12"/>
  <c r="N65" i="11"/>
  <c r="N65" i="8"/>
  <c r="N65" i="7"/>
  <c r="N48" i="14"/>
  <c r="N67" i="10"/>
  <c r="N67" i="9"/>
  <c r="N67" i="8"/>
  <c r="N67" i="13"/>
  <c r="N67" i="12"/>
  <c r="N67" i="11"/>
  <c r="N50" i="14"/>
  <c r="N69" i="10"/>
  <c r="N69" i="13"/>
  <c r="N69" i="12"/>
  <c r="N69" i="11"/>
  <c r="N45" i="14"/>
  <c r="N64" i="13"/>
  <c r="N64" i="12"/>
  <c r="N64" i="11"/>
  <c r="N64" i="8"/>
  <c r="N64" i="7"/>
  <c r="N64" i="6"/>
  <c r="N64" i="10"/>
  <c r="N64" i="9"/>
  <c r="N64" i="5"/>
  <c r="N47" i="14"/>
  <c r="N66" i="13"/>
  <c r="N66" i="12"/>
  <c r="N66" i="11"/>
  <c r="N66" i="8"/>
  <c r="N66" i="7"/>
  <c r="N66" i="10"/>
  <c r="N66" i="9"/>
  <c r="N51" i="14"/>
  <c r="N70" i="13"/>
  <c r="N70" i="12"/>
  <c r="N70" i="11"/>
  <c r="N53" i="14"/>
  <c r="N72" i="13"/>
  <c r="M47" i="14"/>
  <c r="M66" i="7"/>
  <c r="M66" i="8"/>
  <c r="M66" i="12"/>
  <c r="M66" i="9"/>
  <c r="M66" i="11"/>
  <c r="M66" i="10"/>
  <c r="M66" i="13"/>
  <c r="M48" i="14"/>
  <c r="M67" i="13"/>
  <c r="M67" i="12"/>
  <c r="M67" i="9"/>
  <c r="M67" i="8"/>
  <c r="M67" i="11"/>
  <c r="M67" i="10"/>
  <c r="M50" i="14"/>
  <c r="M69" i="10"/>
  <c r="M69" i="11"/>
  <c r="M69" i="13"/>
  <c r="M69" i="12"/>
  <c r="M51" i="14"/>
  <c r="M70" i="13"/>
  <c r="M70" i="11"/>
  <c r="M70" i="12"/>
  <c r="M46" i="14"/>
  <c r="M65" i="8"/>
  <c r="M65" i="11"/>
  <c r="M65" i="10"/>
  <c r="M65" i="6"/>
  <c r="M65" i="13"/>
  <c r="M65" i="12"/>
  <c r="M65" i="9"/>
  <c r="M65" i="7"/>
  <c r="M49" i="14"/>
  <c r="M68" i="11"/>
  <c r="M68" i="10"/>
  <c r="M68" i="13"/>
  <c r="M68" i="12"/>
  <c r="M68" i="9"/>
  <c r="M52" i="14"/>
  <c r="M71" i="13"/>
  <c r="M71" i="12"/>
  <c r="M53" i="14"/>
  <c r="M72" i="13"/>
  <c r="L48" i="14"/>
  <c r="L67" i="11"/>
  <c r="L67" i="9"/>
  <c r="L67" i="12"/>
  <c r="L67" i="8"/>
  <c r="L67" i="13"/>
  <c r="L67" i="10"/>
  <c r="L49" i="14"/>
  <c r="L68" i="11"/>
  <c r="L68" i="13"/>
  <c r="L68" i="10"/>
  <c r="L68" i="9"/>
  <c r="L68" i="12"/>
  <c r="L64" i="11"/>
  <c r="L64" i="6"/>
  <c r="L50" i="14"/>
  <c r="L69" i="11"/>
  <c r="L69" i="10"/>
  <c r="L69" i="12"/>
  <c r="L69" i="13"/>
  <c r="L52" i="14"/>
  <c r="L71" i="12"/>
  <c r="L71" i="13"/>
  <c r="L46" i="14"/>
  <c r="L65" i="11"/>
  <c r="L65" i="9"/>
  <c r="L65" i="7"/>
  <c r="L65" i="13"/>
  <c r="L65" i="8"/>
  <c r="L65" i="6"/>
  <c r="L65" i="12"/>
  <c r="L65" i="10"/>
  <c r="L53" i="14"/>
  <c r="L72" i="13"/>
  <c r="L47" i="14"/>
  <c r="L66" i="11"/>
  <c r="L66" i="9"/>
  <c r="L66" i="12"/>
  <c r="L66" i="10"/>
  <c r="L66" i="13"/>
  <c r="L66" i="8"/>
  <c r="L66" i="7"/>
  <c r="L51" i="14"/>
  <c r="L70" i="13"/>
  <c r="L70" i="11"/>
  <c r="L70" i="12"/>
  <c r="K49" i="14"/>
  <c r="K68" i="11"/>
  <c r="K68" i="10"/>
  <c r="K68" i="12"/>
  <c r="K68" i="13"/>
  <c r="K68" i="9"/>
  <c r="K64" i="11"/>
  <c r="K53" i="14"/>
  <c r="K72" i="13"/>
  <c r="K51" i="14"/>
  <c r="K70" i="11"/>
  <c r="K70" i="13"/>
  <c r="K70" i="12"/>
  <c r="K48" i="14"/>
  <c r="K67" i="13"/>
  <c r="K67" i="12"/>
  <c r="K67" i="9"/>
  <c r="K67" i="11"/>
  <c r="K67" i="10"/>
  <c r="K67" i="8"/>
  <c r="K47" i="14"/>
  <c r="K66" i="13"/>
  <c r="K66" i="12"/>
  <c r="K66" i="9"/>
  <c r="K66" i="11"/>
  <c r="K66" i="10"/>
  <c r="K66" i="7"/>
  <c r="K66" i="8"/>
  <c r="K46" i="14"/>
  <c r="K65" i="8"/>
  <c r="K65" i="7"/>
  <c r="K65" i="11"/>
  <c r="K65" i="6"/>
  <c r="K65" i="13"/>
  <c r="K65" i="12"/>
  <c r="K65" i="9"/>
  <c r="K65" i="10"/>
  <c r="K50" i="14"/>
  <c r="K69" i="10"/>
  <c r="K69" i="13"/>
  <c r="K69" i="12"/>
  <c r="K69" i="11"/>
  <c r="K52" i="14"/>
  <c r="K71" i="13"/>
  <c r="K71" i="12"/>
  <c r="J45" i="14"/>
  <c r="J64" i="13"/>
  <c r="J64" i="12"/>
  <c r="J64" i="6"/>
  <c r="J64" i="10"/>
  <c r="J64" i="7"/>
  <c r="J64" i="5"/>
  <c r="J64" i="9"/>
  <c r="J64" i="8"/>
  <c r="J64" i="11"/>
  <c r="J46" i="14"/>
  <c r="J65" i="6"/>
  <c r="J65" i="12"/>
  <c r="J65" i="11"/>
  <c r="J65" i="10"/>
  <c r="J65" i="7"/>
  <c r="J65" i="13"/>
  <c r="O65" i="5"/>
  <c r="J65" i="9"/>
  <c r="J65" i="8"/>
  <c r="J48" i="14"/>
  <c r="J67" i="10"/>
  <c r="O67" i="7"/>
  <c r="J67" i="13"/>
  <c r="J67" i="12"/>
  <c r="J67" i="11"/>
  <c r="J67" i="8"/>
  <c r="J67" i="9"/>
  <c r="J50" i="14"/>
  <c r="J69" i="12"/>
  <c r="J69" i="11"/>
  <c r="J69" i="13"/>
  <c r="J69" i="10"/>
  <c r="O69" i="9"/>
  <c r="J52" i="14"/>
  <c r="J71" i="13"/>
  <c r="J71" i="12"/>
  <c r="O71" i="11"/>
  <c r="J49" i="14"/>
  <c r="J68" i="12"/>
  <c r="J68" i="11"/>
  <c r="J68" i="10"/>
  <c r="J68" i="9"/>
  <c r="O68" i="8"/>
  <c r="J68" i="13"/>
  <c r="J53" i="14"/>
  <c r="J72" i="13"/>
  <c r="O72" i="12"/>
  <c r="J47" i="14"/>
  <c r="J66" i="9"/>
  <c r="J66" i="11"/>
  <c r="J66" i="8"/>
  <c r="J66" i="7"/>
  <c r="J66" i="10"/>
  <c r="O66" i="6"/>
  <c r="J66" i="13"/>
  <c r="J66" i="12"/>
  <c r="J51" i="14"/>
  <c r="O70" i="10"/>
  <c r="J70" i="13"/>
  <c r="J70" i="12"/>
  <c r="J70" i="11"/>
  <c r="N63" i="4"/>
  <c r="M44" i="14"/>
  <c r="M63" i="13"/>
  <c r="M63" i="8"/>
  <c r="M63" i="6"/>
  <c r="M63" i="12"/>
  <c r="M63" i="11"/>
  <c r="M63" i="9"/>
  <c r="M63" i="7"/>
  <c r="M63" i="5"/>
  <c r="M63" i="4"/>
  <c r="M63" i="10"/>
  <c r="K63" i="7"/>
  <c r="K63" i="13"/>
  <c r="K63" i="8"/>
  <c r="L63" i="10"/>
  <c r="L63" i="8"/>
  <c r="L63" i="7"/>
  <c r="N43" i="14"/>
  <c r="N62" i="12"/>
  <c r="N62" i="8"/>
  <c r="N62" i="5"/>
  <c r="N62" i="4"/>
  <c r="N62" i="3"/>
  <c r="N62" i="11"/>
  <c r="N62" i="6"/>
  <c r="N62" i="7"/>
  <c r="N62" i="10"/>
  <c r="N62" i="9"/>
  <c r="N62" i="13"/>
  <c r="L43" i="14"/>
  <c r="L62" i="13"/>
  <c r="L62" i="11"/>
  <c r="L62" i="6"/>
  <c r="L62" i="8"/>
  <c r="L62" i="5"/>
  <c r="L62" i="4"/>
  <c r="L62" i="3"/>
  <c r="L62" i="9"/>
  <c r="L62" i="7"/>
  <c r="L62" i="12"/>
  <c r="L62" i="10"/>
  <c r="J43" i="14"/>
  <c r="J62" i="12"/>
  <c r="J62" i="8"/>
  <c r="J62" i="5"/>
  <c r="J62" i="4"/>
  <c r="J62" i="10"/>
  <c r="J62" i="9"/>
  <c r="J62" i="3"/>
  <c r="J62" i="13"/>
  <c r="J62" i="11"/>
  <c r="J62" i="6"/>
  <c r="J62" i="7"/>
  <c r="K43" i="14"/>
  <c r="K62" i="10"/>
  <c r="K62" i="9"/>
  <c r="K62" i="7"/>
  <c r="K62" i="13"/>
  <c r="K62" i="11"/>
  <c r="K62" i="6"/>
  <c r="K62" i="3"/>
  <c r="K62" i="12"/>
  <c r="K62" i="8"/>
  <c r="K62" i="5"/>
  <c r="K62" i="4"/>
  <c r="K64" i="9" l="1"/>
  <c r="M64" i="10"/>
  <c r="L64" i="10"/>
  <c r="M64" i="7"/>
  <c r="K64" i="10"/>
  <c r="L64" i="12"/>
  <c r="L64" i="7"/>
  <c r="M64" i="8"/>
  <c r="M64" i="11"/>
  <c r="O64" i="11" s="1"/>
  <c r="L64" i="13"/>
  <c r="M64" i="5"/>
  <c r="M45" i="14"/>
  <c r="O64" i="4"/>
  <c r="M64" i="9"/>
  <c r="L64" i="9"/>
  <c r="M64" i="12"/>
  <c r="M64" i="13"/>
  <c r="K64" i="8"/>
  <c r="L64" i="8"/>
  <c r="L45" i="14"/>
  <c r="J63" i="4"/>
  <c r="K63" i="12"/>
  <c r="K63" i="9"/>
  <c r="K63" i="6"/>
  <c r="K63" i="11"/>
  <c r="K44" i="14"/>
  <c r="L63" i="11"/>
  <c r="O63" i="11" s="1"/>
  <c r="K63" i="10"/>
  <c r="L63" i="4"/>
  <c r="O63" i="4" s="1"/>
  <c r="K63" i="4"/>
  <c r="L63" i="6"/>
  <c r="J63" i="5"/>
  <c r="J63" i="13"/>
  <c r="L63" i="5"/>
  <c r="L63" i="13"/>
  <c r="L63" i="9"/>
  <c r="L44" i="14"/>
  <c r="N63" i="12"/>
  <c r="J63" i="12"/>
  <c r="O54" i="14"/>
  <c r="K64" i="6"/>
  <c r="O64" i="6" s="1"/>
  <c r="K64" i="12"/>
  <c r="K45" i="14"/>
  <c r="K64" i="5"/>
  <c r="K64" i="7"/>
  <c r="O64" i="7" s="1"/>
  <c r="N63" i="11"/>
  <c r="N63" i="10"/>
  <c r="J63" i="6"/>
  <c r="J63" i="10"/>
  <c r="J63" i="9"/>
  <c r="J44" i="14"/>
  <c r="J63" i="8"/>
  <c r="N63" i="6"/>
  <c r="N63" i="13"/>
  <c r="O63" i="3"/>
  <c r="N63" i="8"/>
  <c r="N44" i="14"/>
  <c r="N63" i="5"/>
  <c r="O63" i="5" s="1"/>
  <c r="N63" i="7"/>
  <c r="O63" i="7" s="1"/>
  <c r="O62" i="13"/>
  <c r="O66" i="7"/>
  <c r="O72" i="13"/>
  <c r="O53" i="14"/>
  <c r="O52" i="14"/>
  <c r="O71" i="12"/>
  <c r="O71" i="13"/>
  <c r="O70" i="13"/>
  <c r="O70" i="11"/>
  <c r="O51" i="14"/>
  <c r="O70" i="12"/>
  <c r="O69" i="11"/>
  <c r="O69" i="12"/>
  <c r="O69" i="10"/>
  <c r="O50" i="14"/>
  <c r="O69" i="13"/>
  <c r="O68" i="10"/>
  <c r="O68" i="13"/>
  <c r="O68" i="11"/>
  <c r="O68" i="12"/>
  <c r="O68" i="9"/>
  <c r="O49" i="14"/>
  <c r="O66" i="11"/>
  <c r="O66" i="10"/>
  <c r="O66" i="9"/>
  <c r="O66" i="13"/>
  <c r="O66" i="12"/>
  <c r="O47" i="14"/>
  <c r="O66" i="8"/>
  <c r="O65" i="8"/>
  <c r="O46" i="14"/>
  <c r="O65" i="11"/>
  <c r="O65" i="13"/>
  <c r="O65" i="12"/>
  <c r="O65" i="7"/>
  <c r="O65" i="6"/>
  <c r="O65" i="9"/>
  <c r="O65" i="10"/>
  <c r="O45" i="14"/>
  <c r="O67" i="10"/>
  <c r="O67" i="11"/>
  <c r="O67" i="12"/>
  <c r="O48" i="14"/>
  <c r="O67" i="9"/>
  <c r="O67" i="13"/>
  <c r="O67" i="8"/>
  <c r="O63" i="12"/>
  <c r="O62" i="7"/>
  <c r="O62" i="3"/>
  <c r="O62" i="5"/>
  <c r="O62" i="6"/>
  <c r="O62" i="9"/>
  <c r="O62" i="8"/>
  <c r="O62" i="11"/>
  <c r="O62" i="10"/>
  <c r="O62" i="12"/>
  <c r="O62" i="4"/>
  <c r="O43" i="14"/>
  <c r="O64" i="12" l="1"/>
  <c r="O64" i="8"/>
  <c r="O64" i="10"/>
  <c r="O64" i="13"/>
  <c r="O64" i="9"/>
  <c r="O64" i="5"/>
  <c r="O44" i="14"/>
  <c r="O63" i="8"/>
  <c r="O63" i="6"/>
  <c r="O63" i="9"/>
  <c r="O63" i="13"/>
  <c r="O63" i="10"/>
</calcChain>
</file>

<file path=xl/sharedStrings.xml><?xml version="1.0" encoding="utf-8"?>
<sst xmlns="http://schemas.openxmlformats.org/spreadsheetml/2006/main" count="1137" uniqueCount="184">
  <si>
    <t>Instructivo: Formato registro anual de generacion de residuos generados en la atencion en salud y otras actividades</t>
  </si>
  <si>
    <t>SECRETARIA DE DESARROLLO DE LA SALUD DE CÓRDOBA</t>
  </si>
  <si>
    <t>SALUD AMBIENTAL</t>
  </si>
  <si>
    <t>Bloque</t>
  </si>
  <si>
    <t>No.</t>
  </si>
  <si>
    <t>Item</t>
  </si>
  <si>
    <t>Diligenciamiento</t>
  </si>
  <si>
    <t>Información general</t>
  </si>
  <si>
    <t>Nombre del generador de residuos</t>
  </si>
  <si>
    <t>Nombre completo del establecimiento generador de residuos</t>
  </si>
  <si>
    <t>Ciudad</t>
  </si>
  <si>
    <t>Ciudad de ubicación del establecimiento generador de residuos</t>
  </si>
  <si>
    <t>Departamento</t>
  </si>
  <si>
    <t>Departamento de ubicación del establecimiento generador de residuos</t>
  </si>
  <si>
    <t>Direccion</t>
  </si>
  <si>
    <t>Dirección del establecimiento generador de residuos</t>
  </si>
  <si>
    <t>Telefono</t>
  </si>
  <si>
    <t>Teléfono del establecimiento generador de residuos</t>
  </si>
  <si>
    <t>Correo Electronico</t>
  </si>
  <si>
    <t>Correo electrónico del establecimiento generador de residuos</t>
  </si>
  <si>
    <t>Responsable del diligenciamiento</t>
  </si>
  <si>
    <t>Nombre completo del encargado de diligenciar el formulario</t>
  </si>
  <si>
    <t>Cargo</t>
  </si>
  <si>
    <t>Cargo del encargado de diligenciar el formato</t>
  </si>
  <si>
    <t xml:space="preserve">Fecha del reporte </t>
  </si>
  <si>
    <t>Fecha de diligenciamiento del formato</t>
  </si>
  <si>
    <t>Consolidación residuos por DTS</t>
  </si>
  <si>
    <t>Residuos no peligrosos -</t>
  </si>
  <si>
    <t>Biodegradables</t>
  </si>
  <si>
    <t>Cantidad en Kg/mes de residuos Biodegradables (residuos orgánicos aprovechables*) generados por el establecimiento de atención en salud y otras actividades</t>
  </si>
  <si>
    <t>Reciclables</t>
  </si>
  <si>
    <t>Cantidad en Kg/mes de residuos reciclables (residuos aprovechables*) generados por el establecimiento de atención en salud y otras actividades</t>
  </si>
  <si>
    <t>Ordinarios</t>
  </si>
  <si>
    <t>Cantidad en Kg/mes de residuos ordinarios (residios no aprovechables*) generados por el establecimiento de atención en salud y otras actividades</t>
  </si>
  <si>
    <t>Subtotal Residuos no peligrosos</t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</si>
  <si>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 residuos no peligrosos</t>
    </r>
  </si>
  <si>
    <t>Residuos peligrosos riesgo biológico o infeccioso</t>
  </si>
  <si>
    <t>Biosanitarios</t>
  </si>
  <si>
    <t>Cantidad en Kg/mes de residuos biosanitarios generados por el establecimiento de atención en salud y otras actividades</t>
  </si>
  <si>
    <t>Cortopunzantes</t>
  </si>
  <si>
    <t>Cantidad en Kg/mes de residuos cortopunzantes generados por el establecimiento de atención en salud y otras actividades</t>
  </si>
  <si>
    <t>Anatomopatológicos</t>
  </si>
  <si>
    <t>Animales</t>
  </si>
  <si>
    <t>Subtotal residuos de riesgo biologico o infeccioso</t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</si>
  <si>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 residuos de riesgo biológico o infeccioso</t>
    </r>
  </si>
  <si>
    <t>Residuos peligrosos otros residuos con las siguientes características **</t>
  </si>
  <si>
    <t>Corrosivo</t>
  </si>
  <si>
    <t>Cantidad en Kg/mes de residuos de característica corrosivo generados por el establecimiento de atención en salud y otras actividades</t>
  </si>
  <si>
    <t>Explosivo</t>
  </si>
  <si>
    <t>Cantidad en Kg/mes de residuos de característica explosivo generados por el establecimiento de atención en salud y otras actividades</t>
  </si>
  <si>
    <t>Toxico</t>
  </si>
  <si>
    <t>Cantidad en Kg/mes de residuos de característica tóxico generados por el establecimiento de atención en salud y otras actividades</t>
  </si>
  <si>
    <t>Inflamable</t>
  </si>
  <si>
    <t>Cantidad en Kg/mes de residuos de característica inflamable generados por el establecimiento de atención en salud y otras actividades</t>
  </si>
  <si>
    <t>Reactivo</t>
  </si>
  <si>
    <t>Cantidad en Kg/mes de residuos de característica reactivo generados por el establecimiento de atención en salud y otras actividades</t>
  </si>
  <si>
    <t xml:space="preserve">Subtotal otros residuos </t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</si>
  <si>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 otros residuos</t>
    </r>
  </si>
  <si>
    <t>Subtotal Residuos Peligrosos</t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</si>
  <si>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  residuos peligrosos</t>
    </r>
  </si>
  <si>
    <t>Total</t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</si>
  <si>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  residuos generados por el establecimiento de atención en salud y otras actividades</t>
    </r>
  </si>
  <si>
    <t>Indicadores de destinación</t>
  </si>
  <si>
    <t>Destinación de residuos</t>
  </si>
  <si>
    <t xml:space="preserve">Desactivación </t>
  </si>
  <si>
    <t>Cantidad en Kg/mes de residuos destinados a desactivación</t>
  </si>
  <si>
    <t>Reciclaje</t>
  </si>
  <si>
    <t>Cantidad en Kg/mes de residuos destinados a reciclaje (aprovechamiento)</t>
  </si>
  <si>
    <t>Incineración</t>
  </si>
  <si>
    <t>Cantidad en Kg/mes de residuos destinados a incineración</t>
  </si>
  <si>
    <t>Relleno sanitario</t>
  </si>
  <si>
    <t>Cantidad en Kg/mes de residuos destinados a disposición en relleno sanitario</t>
  </si>
  <si>
    <t>Otros sistemas de disposición final</t>
  </si>
  <si>
    <t>Cantidad en Kg/mes de residuos destinados en otros sistemas de disposición final aceptada por la legislación</t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</si>
  <si>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destinación de residuos generados por el establecimiento de atención en salud y otras actividades.
</t>
    </r>
    <r>
      <rPr>
        <sz val="11"/>
        <color theme="9" tint="-0.249977111117893"/>
        <rFont val="Arial"/>
        <family val="2"/>
      </rPr>
      <t>Atención: La sumatoria de esta celda deberá ser igual a la sumatoria de las cantidades de residuos generados por el establecimiento de atención en salud y otras actividades (Item no. 26). Si no coinciden los valores la celda se mostrará de color rojo.</t>
    </r>
  </si>
  <si>
    <r>
      <rPr>
        <sz val="11"/>
        <color rgb="FFFF0000"/>
        <rFont val="Arial"/>
        <family val="2"/>
      </rPr>
      <t>Celdas formuladas que no requieren ser diligenciadas.</t>
    </r>
    <r>
      <rPr>
        <sz val="11"/>
        <color rgb="FFFF0066"/>
        <rFont val="Arial"/>
        <family val="2"/>
      </rPr>
      <t xml:space="preserve"> </t>
    </r>
    <r>
      <rPr>
        <sz val="11"/>
        <rFont val="Arial"/>
        <family val="2"/>
      </rPr>
      <t xml:space="preserve">Cálculo
de la cantidad de residuos sometidos a desactivación de alta eficiencia, incineración, reciclaje, disposición en rellenos sanitarios, u otros sistemas de gestión dividido entre la cantidad total de residuos que fueron generados.
</t>
    </r>
    <r>
      <rPr>
        <sz val="11"/>
        <color theme="9" tint="-0.249977111117893"/>
        <rFont val="Arial"/>
        <family val="2"/>
      </rPr>
      <t>Atención: Si el total del indicador de destinación no es 100% la celda se mostrará en color rojo.</t>
    </r>
  </si>
  <si>
    <t>* Titulo 2 del Decreto 1077 de 2015 del MVCT, Resolución 2184 de 2019 del MADS y MVCT</t>
  </si>
  <si>
    <t>FORMATO REGISTRO ANUAL DE GENERACION DE RESIDUOS GENERADOS EN LA ATENCION EN SALUD Y OTRAS ACTIVIDADES</t>
  </si>
  <si>
    <t>Version 2.0</t>
  </si>
  <si>
    <t>Fecha: 08/03/2022</t>
  </si>
  <si>
    <t>CODIGO</t>
  </si>
  <si>
    <t>1.  Nombre del Generador</t>
  </si>
  <si>
    <t>6. Correo Electronico</t>
  </si>
  <si>
    <t>2. Ciudad</t>
  </si>
  <si>
    <t>7. Responsable del diligenciamiento</t>
  </si>
  <si>
    <t>3. Departamento</t>
  </si>
  <si>
    <t>8. Cargo</t>
  </si>
  <si>
    <t>4. Direccion</t>
  </si>
  <si>
    <t>9. Mes:</t>
  </si>
  <si>
    <t xml:space="preserve">5. Telefono </t>
  </si>
  <si>
    <t xml:space="preserve"> </t>
  </si>
  <si>
    <t>CONSOLIDACION RESIDUOS POR ESTABLECIMIENTO GENERADOR DE RESIDUOS</t>
  </si>
  <si>
    <t>DÍA</t>
  </si>
  <si>
    <t xml:space="preserve">RESIDUOS NO PELIGROS </t>
  </si>
  <si>
    <t>RESIDUOS PELIGROSOS</t>
  </si>
  <si>
    <t>TOTAL</t>
  </si>
  <si>
    <t>INFECCIOSO O RIESGO BIOLOGICO</t>
  </si>
  <si>
    <t>OTROS RESIDUOS CON LAS SIGUIENTES CARACTERISTICAS</t>
  </si>
  <si>
    <t>BIODEGRADABLES  (KG/DÍA)</t>
  </si>
  <si>
    <t>RECICLABLES     (KG/DÍA)</t>
  </si>
  <si>
    <t>ORDINARIOS (KG/DÍA)</t>
  </si>
  <si>
    <t>BIOSANITARIOS         (KG/DÍA)</t>
  </si>
  <si>
    <t>ANATOMOPATOLOGICOS  (KG/DÍA)</t>
  </si>
  <si>
    <t>CORTOPUNZANTES (KG/DÍA)</t>
  </si>
  <si>
    <t>ANIMALES (KG/DÍA)</t>
  </si>
  <si>
    <t>CORROSIVA (KG/DÍA)</t>
  </si>
  <si>
    <t>EXPLOSIVO (KG/DÍA)</t>
  </si>
  <si>
    <t>TOXICO (KG/DÍA)</t>
  </si>
  <si>
    <t>INFLAMABLE   (KG/DÍA)</t>
  </si>
  <si>
    <t>REACTIVO  (KG/DÍA)</t>
  </si>
  <si>
    <t>TOTAL (KG/MES)</t>
  </si>
  <si>
    <t xml:space="preserve"> INDICADORES DE DESTINACION</t>
  </si>
  <si>
    <t>MES</t>
  </si>
  <si>
    <t>DESTINACIÓN DE RESIDUOS</t>
  </si>
  <si>
    <t>INDICADORES DE DESTINACIÓN %</t>
  </si>
  <si>
    <t>INDICADOR TOTAL (%)</t>
  </si>
  <si>
    <t xml:space="preserve"> DESACTIVACION 
(KG/MES)</t>
  </si>
  <si>
    <t xml:space="preserve"> RECICLAJE             
(KG/MES)</t>
  </si>
  <si>
    <t>INCINERACIÓN
(KG/MES)</t>
  </si>
  <si>
    <t>RELLENO SANITARIO
(KG/MES)</t>
  </si>
  <si>
    <t>OTROS SISTEMAS DE DISPOSICION FINAL</t>
  </si>
  <si>
    <t>IDD</t>
  </si>
  <si>
    <t>IDR</t>
  </si>
  <si>
    <t>IDI</t>
  </si>
  <si>
    <t>IDRS</t>
  </si>
  <si>
    <t>IDOS</t>
  </si>
  <si>
    <t>Enero</t>
  </si>
  <si>
    <t>IDD: Indicador de destinacion desactivacion de alta eficiencia</t>
  </si>
  <si>
    <t>IDR: Indicador de destinacion para reciclaje</t>
  </si>
  <si>
    <t>IDI: Indicador de destinacion para incineracion</t>
  </si>
  <si>
    <t>IDRS: Indicador de destinacion para relleno sanitario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</si>
  <si>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</si>
  <si>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</si>
  <si>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</si>
  <si>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</si>
  <si>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</si>
  <si>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</si>
  <si>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</si>
  <si>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</si>
  <si>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</si>
  <si>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</si>
  <si>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</si>
  <si>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BIODEGRADABLES  (KG/AÑO)</t>
  </si>
  <si>
    <t>RECICLABLES     (KG/AÑO)</t>
  </si>
  <si>
    <t>ORDINARIOS (KG/AÑO)</t>
  </si>
  <si>
    <t>BIOSANITARIOS         (KG/AÑO)</t>
  </si>
  <si>
    <t>ANATOMOPATOLOGICOS  (KG/AÑO)</t>
  </si>
  <si>
    <t>CORTOPUNZANTES (KG/AÑO)</t>
  </si>
  <si>
    <t>ANIMALES (KG/AÑO)</t>
  </si>
  <si>
    <t>CORROSIVA (KG/AÑO)</t>
  </si>
  <si>
    <t>EXPLOSIVO (KG/AÑO)</t>
  </si>
  <si>
    <t>TOXICO (KG/AÑO)</t>
  </si>
  <si>
    <t>INFLAMABLE   (KG/AÑO)</t>
  </si>
  <si>
    <t>REACTIVO  (KG/AÑO)</t>
  </si>
  <si>
    <t>Cags1390</t>
  </si>
  <si>
    <t>GESTAR SALUD IPS SEDE CIENAGA DE ORO CONTRIBUTIVO</t>
  </si>
  <si>
    <t>CIENAGA DE ORO</t>
  </si>
  <si>
    <t>CORDOBA</t>
  </si>
  <si>
    <t>SEDECIENAGA@GESTARSALUDIPS.COM</t>
  </si>
  <si>
    <t>YULIS PAULINA DURANGO</t>
  </si>
  <si>
    <t>ENERO</t>
  </si>
  <si>
    <t>SERVICIOS GENERALES</t>
  </si>
  <si>
    <t>GESTAR SALUD CIENAGA DE ORO - CONTRIBUTIVO</t>
  </si>
  <si>
    <t xml:space="preserve">CIENAGA DE ORO </t>
  </si>
  <si>
    <t xml:space="preserve">CORDOBA </t>
  </si>
  <si>
    <t xml:space="preserve">YULIS DURANGO </t>
  </si>
  <si>
    <t xml:space="preserve">SERVICIOS GENERALES </t>
  </si>
  <si>
    <t>FEBRERO</t>
  </si>
  <si>
    <t>GESTAR SALUD CIENAGA DE ORO- CONTRIBUTIVO</t>
  </si>
  <si>
    <t>YULIS DURANGO</t>
  </si>
  <si>
    <t>MARZO</t>
  </si>
  <si>
    <t>ABRIL</t>
  </si>
  <si>
    <t>GESTAR SALUD CIENAGA DE ORO CONTRIBUTIVO</t>
  </si>
  <si>
    <t>MAYO</t>
  </si>
  <si>
    <t>GESTAR SALUD SEDE CIENAGA CONTRIBUTIVO</t>
  </si>
  <si>
    <t>JUNIO</t>
  </si>
  <si>
    <t>JULIO</t>
  </si>
  <si>
    <t>GESTAR SALUD CIENAGA DE ORO-CONTRIBUTIVO</t>
  </si>
  <si>
    <t>AGOSTO</t>
  </si>
  <si>
    <t>SEPTIEMBRE</t>
  </si>
  <si>
    <t>OCTUBRE</t>
  </si>
  <si>
    <t xml:space="preserve">NOVIEMBRE </t>
  </si>
  <si>
    <t>DICIEMBRE</t>
  </si>
  <si>
    <t>CALLE 7 14-16 BARRIO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</si>
</sst>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4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4"/>
      <name val="Arial"/>
      <family val="2"/>
    </font>
    <font>
      <b/>
      <sz val="14"/>
      <color theme="4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4"/>
      <color rgb="FFFF0066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Arial"/>
      <family val="2"/>
    </font>
    <font>
      <sz val="11"/>
      <color theme="9" tint="-0.249977111117893"/>
      <name val="Arial"/>
      <family val="2"/>
    </font>
    <font>
      <sz val="11"/>
      <color rgb="FFFF0066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434">
    <xf numFmtId="0" fontId="0" fillId="0" borderId="0" xfId="0"/>
    <xf numFmtId="0" fontId="2" fillId="0" borderId="6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36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64" xfId="0" applyBorder="1"/>
    <xf numFmtId="0" fontId="0" fillId="0" borderId="12" xfId="0" applyBorder="1"/>
    <xf numFmtId="0" fontId="0" fillId="0" borderId="13" xfId="0" applyBorder="1"/>
    <xf numFmtId="0" fontId="1" fillId="0" borderId="0" xfId="0" applyFont="1"/>
    <xf numFmtId="0" fontId="1" fillId="0" borderId="13" xfId="0" applyFont="1" applyBorder="1"/>
    <xf numFmtId="0" fontId="1" fillId="0" borderId="11" xfId="0" applyFont="1" applyBorder="1"/>
    <xf numFmtId="0" fontId="1" fillId="0" borderId="17" xfId="0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2" borderId="59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3" fillId="2" borderId="61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47" xfId="0" applyFont="1" applyBorder="1"/>
    <xf numFmtId="3" fontId="1" fillId="0" borderId="46" xfId="0" applyNumberFormat="1" applyFont="1" applyBorder="1"/>
    <xf numFmtId="3" fontId="1" fillId="0" borderId="0" xfId="0" applyNumberFormat="1" applyFont="1"/>
    <xf numFmtId="3" fontId="0" fillId="0" borderId="0" xfId="0" applyNumberFormat="1"/>
    <xf numFmtId="0" fontId="2" fillId="0" borderId="4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2" fontId="1" fillId="0" borderId="62" xfId="0" applyNumberFormat="1" applyFont="1" applyBorder="1" applyAlignment="1">
      <alignment horizontal="center" vertical="center"/>
    </xf>
    <xf numFmtId="2" fontId="1" fillId="0" borderId="29" xfId="0" applyNumberFormat="1" applyFont="1" applyBorder="1"/>
    <xf numFmtId="2" fontId="1" fillId="0" borderId="32" xfId="0" applyNumberFormat="1" applyFont="1" applyBorder="1"/>
    <xf numFmtId="0" fontId="4" fillId="0" borderId="0" xfId="0" applyFont="1"/>
    <xf numFmtId="0" fontId="1" fillId="0" borderId="33" xfId="0" applyFont="1" applyBorder="1"/>
    <xf numFmtId="0" fontId="1" fillId="0" borderId="56" xfId="0" applyFont="1" applyBorder="1"/>
    <xf numFmtId="0" fontId="4" fillId="0" borderId="56" xfId="0" applyFont="1" applyBorder="1"/>
    <xf numFmtId="0" fontId="1" fillId="0" borderId="57" xfId="0" applyFont="1" applyBorder="1"/>
    <xf numFmtId="0" fontId="1" fillId="0" borderId="22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2" fontId="0" fillId="0" borderId="6" xfId="0" applyNumberFormat="1" applyBorder="1"/>
    <xf numFmtId="0" fontId="3" fillId="2" borderId="66" xfId="0" applyFont="1" applyFill="1" applyBorder="1" applyAlignment="1">
      <alignment horizontal="center" vertical="center" wrapText="1"/>
    </xf>
    <xf numFmtId="2" fontId="0" fillId="0" borderId="1" xfId="0" applyNumberFormat="1" applyBorder="1"/>
    <xf numFmtId="2" fontId="0" fillId="0" borderId="2" xfId="0" applyNumberFormat="1" applyBorder="1"/>
    <xf numFmtId="2" fontId="0" fillId="0" borderId="23" xfId="0" applyNumberFormat="1" applyBorder="1"/>
    <xf numFmtId="2" fontId="0" fillId="0" borderId="5" xfId="0" applyNumberFormat="1" applyBorder="1"/>
    <xf numFmtId="2" fontId="0" fillId="0" borderId="10" xfId="0" applyNumberFormat="1" applyBorder="1"/>
    <xf numFmtId="2" fontId="1" fillId="0" borderId="30" xfId="0" applyNumberFormat="1" applyFont="1" applyBorder="1"/>
    <xf numFmtId="0" fontId="0" fillId="3" borderId="0" xfId="0" applyFill="1" applyProtection="1">
      <protection locked="0"/>
    </xf>
    <xf numFmtId="0" fontId="0" fillId="7" borderId="44" xfId="0" applyFill="1" applyBorder="1" applyProtection="1">
      <protection locked="0"/>
    </xf>
    <xf numFmtId="0" fontId="2" fillId="7" borderId="45" xfId="0" applyFont="1" applyFill="1" applyBorder="1" applyAlignment="1" applyProtection="1">
      <alignment horizontal="center"/>
      <protection locked="0"/>
    </xf>
    <xf numFmtId="0" fontId="2" fillId="7" borderId="58" xfId="0" applyFont="1" applyFill="1" applyBorder="1" applyAlignment="1" applyProtection="1">
      <alignment horizontal="center"/>
      <protection locked="0"/>
    </xf>
    <xf numFmtId="0" fontId="2" fillId="8" borderId="38" xfId="0" applyFont="1" applyFill="1" applyBorder="1" applyAlignment="1" applyProtection="1">
      <alignment horizontal="center"/>
      <protection locked="0"/>
    </xf>
    <xf numFmtId="0" fontId="11" fillId="8" borderId="39" xfId="0" applyFont="1" applyFill="1" applyBorder="1" applyAlignment="1" applyProtection="1">
      <alignment wrapText="1"/>
      <protection locked="0"/>
    </xf>
    <xf numFmtId="0" fontId="2" fillId="8" borderId="6" xfId="0" applyFont="1" applyFill="1" applyBorder="1" applyAlignment="1" applyProtection="1">
      <alignment horizontal="center"/>
      <protection locked="0"/>
    </xf>
    <xf numFmtId="0" fontId="11" fillId="8" borderId="10" xfId="0" applyFont="1" applyFill="1" applyBorder="1" applyAlignment="1" applyProtection="1">
      <alignment wrapText="1"/>
      <protection locked="0"/>
    </xf>
    <xf numFmtId="0" fontId="14" fillId="0" borderId="6" xfId="0" applyFont="1" applyBorder="1" applyAlignment="1" applyProtection="1">
      <alignment wrapText="1"/>
      <protection locked="0"/>
    </xf>
    <xf numFmtId="0" fontId="11" fillId="0" borderId="10" xfId="0" applyFont="1" applyBorder="1" applyAlignment="1" applyProtection="1">
      <alignment wrapText="1"/>
      <protection locked="0"/>
    </xf>
    <xf numFmtId="0" fontId="14" fillId="0" borderId="6" xfId="0" applyFont="1" applyBorder="1" applyProtection="1">
      <protection locked="0"/>
    </xf>
    <xf numFmtId="0" fontId="14" fillId="8" borderId="6" xfId="0" applyFont="1" applyFill="1" applyBorder="1" applyProtection="1">
      <protection locked="0"/>
    </xf>
    <xf numFmtId="0" fontId="14" fillId="8" borderId="6" xfId="0" applyFont="1" applyFill="1" applyBorder="1" applyAlignment="1" applyProtection="1">
      <alignment wrapText="1"/>
      <protection locked="0"/>
    </xf>
    <xf numFmtId="0" fontId="14" fillId="8" borderId="6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2" fontId="0" fillId="0" borderId="1" xfId="0" applyNumberFormat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1" fillId="0" borderId="28" xfId="0" applyNumberFormat="1" applyFont="1" applyBorder="1" applyAlignment="1">
      <alignment horizontal="right" vertical="center"/>
    </xf>
    <xf numFmtId="2" fontId="0" fillId="0" borderId="9" xfId="0" applyNumberFormat="1" applyBorder="1"/>
    <xf numFmtId="4" fontId="0" fillId="5" borderId="39" xfId="0" applyNumberFormat="1" applyFill="1" applyBorder="1"/>
    <xf numFmtId="4" fontId="0" fillId="5" borderId="41" xfId="0" applyNumberFormat="1" applyFill="1" applyBorder="1"/>
    <xf numFmtId="4" fontId="0" fillId="5" borderId="36" xfId="0" applyNumberFormat="1" applyFill="1" applyBorder="1"/>
    <xf numFmtId="4" fontId="8" fillId="6" borderId="42" xfId="0" applyNumberFormat="1" applyFont="1" applyFill="1" applyBorder="1"/>
    <xf numFmtId="4" fontId="1" fillId="0" borderId="68" xfId="0" applyNumberFormat="1" applyFont="1" applyBorder="1"/>
    <xf numFmtId="4" fontId="1" fillId="0" borderId="2" xfId="0" applyNumberFormat="1" applyFont="1" applyBorder="1"/>
    <xf numFmtId="4" fontId="1" fillId="0" borderId="69" xfId="0" applyNumberFormat="1" applyFont="1" applyBorder="1"/>
    <xf numFmtId="4" fontId="1" fillId="0" borderId="3" xfId="0" applyNumberFormat="1" applyFont="1" applyBorder="1"/>
    <xf numFmtId="4" fontId="1" fillId="0" borderId="5" xfId="0" applyNumberFormat="1" applyFont="1" applyBorder="1"/>
    <xf numFmtId="4" fontId="1" fillId="0" borderId="6" xfId="0" applyNumberFormat="1" applyFont="1" applyBorder="1"/>
    <xf numFmtId="4" fontId="0" fillId="0" borderId="37" xfId="0" applyNumberFormat="1" applyBorder="1"/>
    <xf numFmtId="4" fontId="1" fillId="0" borderId="28" xfId="0" applyNumberFormat="1" applyFont="1" applyBorder="1"/>
    <xf numFmtId="2" fontId="0" fillId="0" borderId="37" xfId="0" applyNumberFormat="1" applyBorder="1" applyProtection="1">
      <protection locked="0"/>
    </xf>
    <xf numFmtId="2" fontId="0" fillId="0" borderId="38" xfId="0" applyNumberFormat="1" applyBorder="1" applyProtection="1">
      <protection locked="0"/>
    </xf>
    <xf numFmtId="2" fontId="0" fillId="0" borderId="0" xfId="0" applyNumberFormat="1"/>
    <xf numFmtId="2" fontId="0" fillId="0" borderId="64" xfId="0" applyNumberFormat="1" applyBorder="1"/>
    <xf numFmtId="2" fontId="1" fillId="0" borderId="0" xfId="0" applyNumberFormat="1" applyFont="1"/>
    <xf numFmtId="2" fontId="8" fillId="6" borderId="42" xfId="0" applyNumberFormat="1" applyFont="1" applyFill="1" applyBorder="1"/>
    <xf numFmtId="2" fontId="1" fillId="0" borderId="0" xfId="0" applyNumberFormat="1" applyFont="1" applyAlignment="1">
      <alignment horizontal="center" vertical="center"/>
    </xf>
    <xf numFmtId="2" fontId="1" fillId="0" borderId="56" xfId="0" applyNumberFormat="1" applyFont="1" applyBorder="1"/>
    <xf numFmtId="1" fontId="2" fillId="0" borderId="12" xfId="0" applyNumberFormat="1" applyFont="1" applyBorder="1" applyAlignment="1">
      <alignment horizontal="center"/>
    </xf>
    <xf numFmtId="2" fontId="0" fillId="0" borderId="12" xfId="0" applyNumberFormat="1" applyBorder="1"/>
    <xf numFmtId="2" fontId="0" fillId="0" borderId="13" xfId="0" applyNumberFormat="1" applyBorder="1"/>
    <xf numFmtId="2" fontId="1" fillId="0" borderId="11" xfId="0" applyNumberFormat="1" applyFont="1" applyBorder="1"/>
    <xf numFmtId="2" fontId="1" fillId="0" borderId="13" xfId="0" applyNumberFormat="1" applyFont="1" applyBorder="1"/>
    <xf numFmtId="2" fontId="3" fillId="2" borderId="1" xfId="0" applyNumberFormat="1" applyFont="1" applyFill="1" applyBorder="1" applyAlignment="1">
      <alignment horizontal="center" vertical="center"/>
    </xf>
    <xf numFmtId="2" fontId="3" fillId="2" borderId="59" xfId="0" applyNumberFormat="1" applyFont="1" applyFill="1" applyBorder="1" applyAlignment="1">
      <alignment horizontal="center" vertical="center" wrapText="1"/>
    </xf>
    <xf numFmtId="2" fontId="3" fillId="2" borderId="60" xfId="0" applyNumberFormat="1" applyFont="1" applyFill="1" applyBorder="1" applyAlignment="1">
      <alignment horizontal="center" vertical="center" wrapText="1"/>
    </xf>
    <xf numFmtId="2" fontId="3" fillId="2" borderId="61" xfId="0" applyNumberFormat="1" applyFont="1" applyFill="1" applyBorder="1" applyAlignment="1">
      <alignment horizontal="center" vertical="center" wrapText="1"/>
    </xf>
    <xf numFmtId="2" fontId="0" fillId="5" borderId="39" xfId="0" applyNumberFormat="1" applyFill="1" applyBorder="1"/>
    <xf numFmtId="2" fontId="0" fillId="0" borderId="40" xfId="0" applyNumberFormat="1" applyBorder="1" applyProtection="1">
      <protection locked="0"/>
    </xf>
    <xf numFmtId="2" fontId="0" fillId="5" borderId="41" xfId="0" applyNumberFormat="1" applyFill="1" applyBorder="1"/>
    <xf numFmtId="2" fontId="0" fillId="5" borderId="36" xfId="0" applyNumberFormat="1" applyFill="1" applyBorder="1"/>
    <xf numFmtId="2" fontId="3" fillId="2" borderId="48" xfId="0" applyNumberFormat="1" applyFont="1" applyFill="1" applyBorder="1" applyAlignment="1">
      <alignment horizontal="center" vertical="center"/>
    </xf>
    <xf numFmtId="2" fontId="3" fillId="2" borderId="52" xfId="0" applyNumberFormat="1" applyFont="1" applyFill="1" applyBorder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2" fontId="3" fillId="2" borderId="53" xfId="0" applyNumberFormat="1" applyFont="1" applyFill="1" applyBorder="1" applyAlignment="1">
      <alignment horizontal="center" vertical="center" wrapText="1"/>
    </xf>
    <xf numFmtId="2" fontId="3" fillId="2" borderId="54" xfId="0" applyNumberFormat="1" applyFont="1" applyFill="1" applyBorder="1" applyAlignment="1">
      <alignment horizontal="center" vertical="center" wrapText="1"/>
    </xf>
    <xf numFmtId="2" fontId="3" fillId="2" borderId="66" xfId="0" applyNumberFormat="1" applyFont="1" applyFill="1" applyBorder="1" applyAlignment="1">
      <alignment horizontal="center" vertical="center" wrapText="1"/>
    </xf>
    <xf numFmtId="2" fontId="1" fillId="0" borderId="22" xfId="0" applyNumberFormat="1" applyFont="1" applyBorder="1" applyAlignment="1">
      <alignment horizontal="center" vertical="center"/>
    </xf>
    <xf numFmtId="2" fontId="1" fillId="0" borderId="68" xfId="0" applyNumberFormat="1" applyFont="1" applyBorder="1"/>
    <xf numFmtId="2" fontId="1" fillId="0" borderId="2" xfId="0" applyNumberFormat="1" applyFont="1" applyBorder="1"/>
    <xf numFmtId="2" fontId="1" fillId="0" borderId="69" xfId="0" applyNumberFormat="1" applyFont="1" applyBorder="1"/>
    <xf numFmtId="2" fontId="1" fillId="0" borderId="3" xfId="0" applyNumberFormat="1" applyFont="1" applyBorder="1"/>
    <xf numFmtId="2" fontId="1" fillId="3" borderId="23" xfId="0" applyNumberFormat="1" applyFont="1" applyFill="1" applyBorder="1"/>
    <xf numFmtId="2" fontId="1" fillId="0" borderId="65" xfId="0" applyNumberFormat="1" applyFont="1" applyBorder="1" applyAlignment="1">
      <alignment horizontal="center" vertical="center"/>
    </xf>
    <xf numFmtId="2" fontId="1" fillId="3" borderId="27" xfId="0" applyNumberFormat="1" applyFont="1" applyFill="1" applyBorder="1"/>
    <xf numFmtId="2" fontId="1" fillId="0" borderId="24" xfId="0" applyNumberFormat="1" applyFont="1" applyBorder="1" applyAlignment="1">
      <alignment horizontal="center" vertical="center"/>
    </xf>
    <xf numFmtId="2" fontId="1" fillId="0" borderId="5" xfId="0" applyNumberFormat="1" applyFont="1" applyBorder="1"/>
    <xf numFmtId="2" fontId="1" fillId="0" borderId="6" xfId="0" applyNumberFormat="1" applyFont="1" applyBorder="1"/>
    <xf numFmtId="2" fontId="1" fillId="0" borderId="10" xfId="0" applyNumberFormat="1" applyFont="1" applyBorder="1"/>
    <xf numFmtId="2" fontId="1" fillId="0" borderId="5" xfId="0" applyNumberFormat="1" applyFont="1" applyBorder="1" applyProtection="1">
      <protection locked="0"/>
    </xf>
    <xf numFmtId="2" fontId="1" fillId="0" borderId="6" xfId="0" applyNumberFormat="1" applyFont="1" applyBorder="1" applyProtection="1">
      <protection locked="0"/>
    </xf>
    <xf numFmtId="2" fontId="1" fillId="0" borderId="27" xfId="0" applyNumberFormat="1" applyFont="1" applyBorder="1" applyAlignment="1">
      <alignment horizontal="center" vertical="center"/>
    </xf>
    <xf numFmtId="2" fontId="1" fillId="0" borderId="28" xfId="0" applyNumberFormat="1" applyFont="1" applyBorder="1" applyProtection="1">
      <protection locked="0"/>
    </xf>
    <xf numFmtId="2" fontId="1" fillId="0" borderId="29" xfId="0" applyNumberFormat="1" applyFont="1" applyBorder="1" applyProtection="1">
      <protection locked="0"/>
    </xf>
    <xf numFmtId="2" fontId="1" fillId="0" borderId="0" xfId="0" applyNumberFormat="1" applyFont="1" applyProtection="1">
      <protection locked="0"/>
    </xf>
    <xf numFmtId="2" fontId="4" fillId="0" borderId="0" xfId="0" applyNumberFormat="1" applyFont="1"/>
    <xf numFmtId="2" fontId="1" fillId="0" borderId="33" xfId="0" applyNumberFormat="1" applyFont="1" applyBorder="1"/>
    <xf numFmtId="2" fontId="4" fillId="0" borderId="56" xfId="0" applyNumberFormat="1" applyFont="1" applyBorder="1"/>
    <xf numFmtId="2" fontId="1" fillId="0" borderId="57" xfId="0" applyNumberFormat="1" applyFont="1" applyBorder="1"/>
    <xf numFmtId="1" fontId="1" fillId="0" borderId="17" xfId="0" applyNumberFormat="1" applyFont="1" applyBorder="1"/>
    <xf numFmtId="1" fontId="2" fillId="0" borderId="18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" fontId="1" fillId="0" borderId="13" xfId="0" applyNumberFormat="1" applyFont="1" applyBorder="1"/>
    <xf numFmtId="1" fontId="0" fillId="0" borderId="0" xfId="0" applyNumberFormat="1"/>
    <xf numFmtId="10" fontId="0" fillId="0" borderId="0" xfId="0" applyNumberFormat="1"/>
    <xf numFmtId="2" fontId="1" fillId="0" borderId="47" xfId="0" applyNumberFormat="1" applyFont="1" applyBorder="1"/>
    <xf numFmtId="2" fontId="3" fillId="2" borderId="55" xfId="0" applyNumberFormat="1" applyFont="1" applyFill="1" applyBorder="1" applyAlignment="1">
      <alignment horizontal="center" vertical="center" wrapText="1"/>
    </xf>
    <xf numFmtId="2" fontId="3" fillId="2" borderId="38" xfId="0" applyNumberFormat="1" applyFont="1" applyFill="1" applyBorder="1" applyAlignment="1">
      <alignment horizontal="center" vertical="center" wrapText="1"/>
    </xf>
    <xf numFmtId="2" fontId="3" fillId="2" borderId="40" xfId="0" applyNumberFormat="1" applyFont="1" applyFill="1" applyBorder="1" applyAlignment="1">
      <alignment horizontal="center" vertical="center" wrapText="1"/>
    </xf>
    <xf numFmtId="2" fontId="1" fillId="0" borderId="32" xfId="0" applyNumberFormat="1" applyFont="1" applyBorder="1" applyProtection="1">
      <protection locked="0"/>
    </xf>
    <xf numFmtId="2" fontId="0" fillId="0" borderId="52" xfId="0" applyNumberFormat="1" applyBorder="1" applyProtection="1">
      <protection locked="0"/>
    </xf>
    <xf numFmtId="2" fontId="0" fillId="0" borderId="53" xfId="0" applyNumberFormat="1" applyBorder="1" applyProtection="1">
      <protection locked="0"/>
    </xf>
    <xf numFmtId="2" fontId="0" fillId="5" borderId="71" xfId="0" applyNumberFormat="1" applyFill="1" applyBorder="1"/>
    <xf numFmtId="2" fontId="0" fillId="0" borderId="54" xfId="0" applyNumberFormat="1" applyBorder="1" applyProtection="1">
      <protection locked="0"/>
    </xf>
    <xf numFmtId="2" fontId="0" fillId="5" borderId="11" xfId="0" applyNumberFormat="1" applyFill="1" applyBorder="1"/>
    <xf numFmtId="2" fontId="0" fillId="5" borderId="25" xfId="0" applyNumberFormat="1" applyFill="1" applyBorder="1"/>
    <xf numFmtId="2" fontId="8" fillId="6" borderId="13" xfId="0" applyNumberFormat="1" applyFont="1" applyFill="1" applyBorder="1"/>
    <xf numFmtId="2" fontId="1" fillId="0" borderId="1" xfId="0" applyNumberFormat="1" applyFont="1" applyBorder="1"/>
    <xf numFmtId="2" fontId="1" fillId="3" borderId="22" xfId="0" applyNumberFormat="1" applyFont="1" applyFill="1" applyBorder="1"/>
    <xf numFmtId="2" fontId="1" fillId="0" borderId="30" xfId="0" applyNumberFormat="1" applyFont="1" applyBorder="1" applyProtection="1">
      <protection locked="0"/>
    </xf>
    <xf numFmtId="2" fontId="1" fillId="0" borderId="27" xfId="0" applyNumberFormat="1" applyFont="1" applyBorder="1"/>
    <xf numFmtId="2" fontId="1" fillId="0" borderId="1" xfId="0" applyNumberFormat="1" applyFont="1" applyBorder="1" applyProtection="1">
      <protection locked="0"/>
    </xf>
    <xf numFmtId="2" fontId="1" fillId="0" borderId="43" xfId="0" applyNumberFormat="1" applyFont="1" applyBorder="1" applyAlignment="1">
      <alignment horizontal="center" vertical="center"/>
    </xf>
    <xf numFmtId="2" fontId="1" fillId="0" borderId="43" xfId="0" applyNumberFormat="1" applyFont="1" applyBorder="1"/>
    <xf numFmtId="1" fontId="1" fillId="0" borderId="11" xfId="0" applyNumberFormat="1" applyFont="1" applyBorder="1"/>
    <xf numFmtId="1" fontId="2" fillId="0" borderId="46" xfId="0" applyNumberFormat="1" applyFont="1" applyBorder="1" applyAlignment="1">
      <alignment horizontal="center"/>
    </xf>
    <xf numFmtId="1" fontId="1" fillId="0" borderId="0" xfId="0" applyNumberFormat="1" applyFont="1"/>
    <xf numFmtId="9" fontId="1" fillId="3" borderId="27" xfId="0" applyNumberFormat="1" applyFont="1" applyFill="1" applyBorder="1"/>
    <xf numFmtId="164" fontId="1" fillId="0" borderId="44" xfId="0" applyNumberFormat="1" applyFont="1" applyBorder="1"/>
    <xf numFmtId="164" fontId="1" fillId="0" borderId="45" xfId="0" applyNumberFormat="1" applyFont="1" applyBorder="1"/>
    <xf numFmtId="164" fontId="0" fillId="5" borderId="58" xfId="0" applyNumberFormat="1" applyFill="1" applyBorder="1"/>
    <xf numFmtId="164" fontId="1" fillId="0" borderId="58" xfId="0" applyNumberFormat="1" applyFont="1" applyBorder="1"/>
    <xf numFmtId="164" fontId="0" fillId="5" borderId="47" xfId="0" applyNumberFormat="1" applyFill="1" applyBorder="1"/>
    <xf numFmtId="164" fontId="0" fillId="5" borderId="46" xfId="0" applyNumberFormat="1" applyFill="1" applyBorder="1"/>
    <xf numFmtId="164" fontId="8" fillId="6" borderId="49" xfId="0" applyNumberFormat="1" applyFont="1" applyFill="1" applyBorder="1"/>
    <xf numFmtId="164" fontId="1" fillId="0" borderId="46" xfId="0" applyNumberFormat="1" applyFont="1" applyBorder="1"/>
    <xf numFmtId="164" fontId="1" fillId="0" borderId="47" xfId="0" applyNumberFormat="1" applyFont="1" applyBorder="1"/>
    <xf numFmtId="164" fontId="0" fillId="0" borderId="0" xfId="0" applyNumberFormat="1"/>
    <xf numFmtId="2" fontId="0" fillId="0" borderId="37" xfId="0" applyNumberFormat="1" applyBorder="1"/>
    <xf numFmtId="2" fontId="3" fillId="2" borderId="44" xfId="0" applyNumberFormat="1" applyFont="1" applyFill="1" applyBorder="1" applyAlignment="1">
      <alignment horizontal="center" vertical="center"/>
    </xf>
    <xf numFmtId="2" fontId="1" fillId="0" borderId="47" xfId="0" applyNumberFormat="1" applyFont="1" applyBorder="1" applyAlignment="1">
      <alignment horizontal="center" vertical="center"/>
    </xf>
    <xf numFmtId="2" fontId="1" fillId="0" borderId="33" xfId="0" applyNumberFormat="1" applyFont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center" vertical="center"/>
    </xf>
    <xf numFmtId="9" fontId="1" fillId="3" borderId="31" xfId="0" applyNumberFormat="1" applyFont="1" applyFill="1" applyBorder="1"/>
    <xf numFmtId="9" fontId="1" fillId="3" borderId="23" xfId="0" applyNumberFormat="1" applyFont="1" applyFill="1" applyBorder="1"/>
    <xf numFmtId="164" fontId="1" fillId="5" borderId="51" xfId="0" applyNumberFormat="1" applyFont="1" applyFill="1" applyBorder="1"/>
    <xf numFmtId="2" fontId="0" fillId="0" borderId="38" xfId="0" applyNumberFormat="1" applyBorder="1"/>
    <xf numFmtId="2" fontId="3" fillId="2" borderId="45" xfId="0" applyNumberFormat="1" applyFont="1" applyFill="1" applyBorder="1" applyAlignment="1">
      <alignment horizontal="center" vertical="center" wrapText="1"/>
    </xf>
    <xf numFmtId="2" fontId="3" fillId="2" borderId="58" xfId="0" applyNumberFormat="1" applyFont="1" applyFill="1" applyBorder="1" applyAlignment="1">
      <alignment horizontal="center" vertical="center" wrapText="1"/>
    </xf>
    <xf numFmtId="2" fontId="0" fillId="0" borderId="39" xfId="0" applyNumberFormat="1" applyBorder="1"/>
    <xf numFmtId="9" fontId="1" fillId="3" borderId="26" xfId="0" applyNumberFormat="1" applyFont="1" applyFill="1" applyBorder="1"/>
    <xf numFmtId="9" fontId="1" fillId="3" borderId="35" xfId="0" applyNumberFormat="1" applyFont="1" applyFill="1" applyBorder="1"/>
    <xf numFmtId="9" fontId="1" fillId="3" borderId="10" xfId="0" applyNumberFormat="1" applyFont="1" applyFill="1" applyBorder="1"/>
    <xf numFmtId="2" fontId="1" fillId="0" borderId="29" xfId="0" applyNumberFormat="1" applyFont="1" applyBorder="1" applyAlignment="1">
      <alignment horizontal="right" vertical="center"/>
    </xf>
    <xf numFmtId="2" fontId="1" fillId="0" borderId="68" xfId="0" applyNumberFormat="1" applyFont="1" applyBorder="1" applyAlignment="1">
      <alignment horizontal="center" vertical="center"/>
    </xf>
    <xf numFmtId="2" fontId="1" fillId="0" borderId="72" xfId="0" applyNumberFormat="1" applyFont="1" applyBorder="1" applyAlignment="1">
      <alignment horizontal="center" vertical="center"/>
    </xf>
    <xf numFmtId="9" fontId="1" fillId="3" borderId="4" xfId="0" applyNumberFormat="1" applyFont="1" applyFill="1" applyBorder="1"/>
    <xf numFmtId="2" fontId="1" fillId="3" borderId="4" xfId="0" applyNumberFormat="1" applyFont="1" applyFill="1" applyBorder="1"/>
    <xf numFmtId="2" fontId="1" fillId="0" borderId="26" xfId="0" applyNumberFormat="1" applyFont="1" applyBorder="1"/>
    <xf numFmtId="2" fontId="1" fillId="0" borderId="35" xfId="0" applyNumberFormat="1" applyFont="1" applyBorder="1"/>
    <xf numFmtId="2" fontId="1" fillId="0" borderId="23" xfId="0" applyNumberFormat="1" applyFont="1" applyBorder="1"/>
    <xf numFmtId="2" fontId="1" fillId="0" borderId="10" xfId="0" applyNumberFormat="1" applyFont="1" applyBorder="1" applyProtection="1">
      <protection locked="0"/>
    </xf>
    <xf numFmtId="9" fontId="1" fillId="3" borderId="35" xfId="1" applyFont="1" applyFill="1" applyBorder="1" applyProtection="1"/>
    <xf numFmtId="2" fontId="1" fillId="0" borderId="7" xfId="0" applyNumberFormat="1" applyFont="1" applyBorder="1"/>
    <xf numFmtId="2" fontId="1" fillId="0" borderId="7" xfId="0" applyNumberFormat="1" applyFont="1" applyBorder="1" applyProtection="1">
      <protection locked="0"/>
    </xf>
    <xf numFmtId="2" fontId="1" fillId="0" borderId="24" xfId="0" applyNumberFormat="1" applyFont="1" applyBorder="1"/>
    <xf numFmtId="164" fontId="4" fillId="0" borderId="47" xfId="0" applyNumberFormat="1" applyFont="1" applyBorder="1"/>
    <xf numFmtId="165" fontId="1" fillId="0" borderId="44" xfId="0" applyNumberFormat="1" applyFont="1" applyBorder="1"/>
    <xf numFmtId="165" fontId="1" fillId="0" borderId="45" xfId="0" applyNumberFormat="1" applyFont="1" applyBorder="1"/>
    <xf numFmtId="165" fontId="1" fillId="0" borderId="51" xfId="0" applyNumberFormat="1" applyFont="1" applyBorder="1"/>
    <xf numFmtId="165" fontId="1" fillId="0" borderId="58" xfId="0" applyNumberFormat="1" applyFont="1" applyBorder="1"/>
    <xf numFmtId="165" fontId="1" fillId="0" borderId="50" xfId="0" applyNumberFormat="1" applyFont="1" applyBorder="1"/>
    <xf numFmtId="165" fontId="0" fillId="0" borderId="46" xfId="0" applyNumberFormat="1" applyBorder="1"/>
    <xf numFmtId="4" fontId="1" fillId="0" borderId="29" xfId="0" applyNumberFormat="1" applyFont="1" applyBorder="1"/>
    <xf numFmtId="4" fontId="1" fillId="0" borderId="7" xfId="0" applyNumberFormat="1" applyFont="1" applyBorder="1"/>
    <xf numFmtId="4" fontId="1" fillId="0" borderId="62" xfId="0" applyNumberFormat="1" applyFont="1" applyBorder="1"/>
    <xf numFmtId="4" fontId="1" fillId="3" borderId="22" xfId="0" applyNumberFormat="1" applyFont="1" applyFill="1" applyBorder="1"/>
    <xf numFmtId="4" fontId="1" fillId="0" borderId="24" xfId="0" applyNumberFormat="1" applyFont="1" applyBorder="1"/>
    <xf numFmtId="4" fontId="1" fillId="0" borderId="27" xfId="0" applyNumberFormat="1" applyFont="1" applyBorder="1"/>
    <xf numFmtId="0" fontId="1" fillId="0" borderId="68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9" fontId="1" fillId="3" borderId="4" xfId="1" applyFont="1" applyFill="1" applyBorder="1" applyProtection="1"/>
    <xf numFmtId="9" fontId="1" fillId="3" borderId="26" xfId="1" applyFont="1" applyFill="1" applyBorder="1" applyProtection="1"/>
    <xf numFmtId="2" fontId="1" fillId="0" borderId="30" xfId="0" applyNumberFormat="1" applyFont="1" applyBorder="1" applyAlignment="1">
      <alignment horizontal="right" vertical="center"/>
    </xf>
    <xf numFmtId="0" fontId="3" fillId="2" borderId="44" xfId="0" applyFont="1" applyFill="1" applyBorder="1" applyAlignment="1">
      <alignment horizontal="center" vertical="center"/>
    </xf>
    <xf numFmtId="2" fontId="1" fillId="0" borderId="70" xfId="0" applyNumberFormat="1" applyFont="1" applyBorder="1"/>
    <xf numFmtId="2" fontId="1" fillId="0" borderId="73" xfId="0" applyNumberFormat="1" applyFont="1" applyBorder="1"/>
    <xf numFmtId="2" fontId="1" fillId="0" borderId="2" xfId="0" applyNumberFormat="1" applyFont="1" applyBorder="1" applyProtection="1">
      <protection locked="0"/>
    </xf>
    <xf numFmtId="2" fontId="1" fillId="0" borderId="4" xfId="0" applyNumberFormat="1" applyFont="1" applyBorder="1" applyProtection="1">
      <protection locked="0"/>
    </xf>
    <xf numFmtId="0" fontId="0" fillId="0" borderId="56" xfId="0" applyBorder="1" applyAlignment="1" applyProtection="1">
      <alignment horizontal="center"/>
      <protection locked="0"/>
    </xf>
    <xf numFmtId="0" fontId="13" fillId="0" borderId="56" xfId="0" applyFont="1" applyBorder="1" applyAlignment="1" applyProtection="1">
      <alignment horizontal="center" vertical="center" wrapText="1"/>
      <protection locked="0"/>
    </xf>
    <xf numFmtId="0" fontId="7" fillId="4" borderId="14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4" borderId="33" xfId="0" applyFont="1" applyFill="1" applyBorder="1" applyAlignment="1" applyProtection="1">
      <alignment horizontal="center" vertical="center"/>
      <protection locked="0"/>
    </xf>
    <xf numFmtId="0" fontId="7" fillId="4" borderId="56" xfId="0" applyFont="1" applyFill="1" applyBorder="1" applyAlignment="1" applyProtection="1">
      <alignment horizontal="center" vertical="center"/>
      <protection locked="0"/>
    </xf>
    <xf numFmtId="0" fontId="7" fillId="4" borderId="57" xfId="0" applyFont="1" applyFill="1" applyBorder="1" applyAlignment="1" applyProtection="1">
      <alignment horizontal="center" vertical="center"/>
      <protection locked="0"/>
    </xf>
    <xf numFmtId="0" fontId="0" fillId="8" borderId="37" xfId="0" applyFill="1" applyBorder="1" applyAlignment="1" applyProtection="1">
      <alignment horizontal="center" vertical="center" wrapText="1"/>
      <protection locked="0"/>
    </xf>
    <xf numFmtId="0" fontId="0" fillId="8" borderId="5" xfId="0" applyFill="1" applyBorder="1" applyAlignment="1" applyProtection="1">
      <alignment horizontal="center" vertical="center" wrapText="1"/>
      <protection locked="0"/>
    </xf>
    <xf numFmtId="0" fontId="14" fillId="8" borderId="38" xfId="0" applyFont="1" applyFill="1" applyBorder="1" applyAlignment="1" applyProtection="1">
      <alignment horizontal="left" wrapText="1"/>
      <protection locked="0"/>
    </xf>
    <xf numFmtId="0" fontId="14" fillId="8" borderId="6" xfId="0" applyFont="1" applyFill="1" applyBorder="1" applyAlignment="1" applyProtection="1">
      <alignment horizontal="left" wrapText="1"/>
      <protection locked="0"/>
    </xf>
    <xf numFmtId="0" fontId="14" fillId="8" borderId="6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14" fillId="0" borderId="67" xfId="0" applyFont="1" applyBorder="1" applyAlignment="1" applyProtection="1">
      <alignment horizontal="center" vertical="center" wrapText="1"/>
      <protection locked="0"/>
    </xf>
    <xf numFmtId="0" fontId="14" fillId="0" borderId="53" xfId="0" applyFont="1" applyBorder="1" applyAlignment="1" applyProtection="1">
      <alignment horizontal="center" vertical="center" wrapText="1"/>
      <protection locked="0"/>
    </xf>
    <xf numFmtId="0" fontId="14" fillId="0" borderId="38" xfId="0" applyFont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left" vertical="center"/>
      <protection locked="0"/>
    </xf>
    <xf numFmtId="2" fontId="5" fillId="2" borderId="17" xfId="0" applyNumberFormat="1" applyFont="1" applyFill="1" applyBorder="1" applyAlignment="1">
      <alignment horizontal="center" vertical="center" wrapText="1"/>
    </xf>
    <xf numFmtId="2" fontId="5" fillId="2" borderId="36" xfId="0" applyNumberFormat="1" applyFont="1" applyFill="1" applyBorder="1" applyAlignment="1">
      <alignment horizontal="center" vertical="center" wrapText="1"/>
    </xf>
    <xf numFmtId="1" fontId="2" fillId="0" borderId="47" xfId="0" applyNumberFormat="1" applyFont="1" applyBorder="1" applyAlignment="1">
      <alignment horizontal="center"/>
    </xf>
    <xf numFmtId="1" fontId="2" fillId="0" borderId="48" xfId="0" applyNumberFormat="1" applyFont="1" applyBorder="1" applyAlignment="1">
      <alignment horizontal="center"/>
    </xf>
    <xf numFmtId="1" fontId="2" fillId="0" borderId="49" xfId="0" applyNumberFormat="1" applyFont="1" applyBorder="1" applyAlignment="1">
      <alignment horizontal="center"/>
    </xf>
    <xf numFmtId="2" fontId="3" fillId="2" borderId="47" xfId="0" applyNumberFormat="1" applyFont="1" applyFill="1" applyBorder="1" applyAlignment="1">
      <alignment horizontal="center" vertical="center"/>
    </xf>
    <xf numFmtId="2" fontId="3" fillId="2" borderId="48" xfId="0" applyNumberFormat="1" applyFont="1" applyFill="1" applyBorder="1" applyAlignment="1">
      <alignment horizontal="center" vertical="center"/>
    </xf>
    <xf numFmtId="2" fontId="3" fillId="2" borderId="17" xfId="0" applyNumberFormat="1" applyFont="1" applyFill="1" applyBorder="1" applyAlignment="1">
      <alignment horizontal="center" vertical="center" wrapText="1"/>
    </xf>
    <xf numFmtId="2" fontId="3" fillId="2" borderId="25" xfId="0" applyNumberFormat="1" applyFont="1" applyFill="1" applyBorder="1" applyAlignment="1">
      <alignment horizontal="center" vertical="center" wrapText="1"/>
    </xf>
    <xf numFmtId="2" fontId="3" fillId="2" borderId="17" xfId="0" applyNumberFormat="1" applyFont="1" applyFill="1" applyBorder="1" applyAlignment="1">
      <alignment horizontal="center" vertical="center"/>
    </xf>
    <xf numFmtId="2" fontId="3" fillId="2" borderId="36" xfId="0" applyNumberFormat="1" applyFont="1" applyFill="1" applyBorder="1" applyAlignment="1">
      <alignment horizontal="center" vertical="center"/>
    </xf>
    <xf numFmtId="2" fontId="3" fillId="2" borderId="50" xfId="0" applyNumberFormat="1" applyFont="1" applyFill="1" applyBorder="1" applyAlignment="1">
      <alignment horizontal="center" vertical="center"/>
    </xf>
    <xf numFmtId="2" fontId="3" fillId="2" borderId="45" xfId="0" applyNumberFormat="1" applyFont="1" applyFill="1" applyBorder="1" applyAlignment="1">
      <alignment horizontal="center" vertical="center"/>
    </xf>
    <xf numFmtId="2" fontId="3" fillId="2" borderId="51" xfId="0" applyNumberFormat="1" applyFont="1" applyFill="1" applyBorder="1" applyAlignment="1">
      <alignment horizontal="center" vertical="center"/>
    </xf>
    <xf numFmtId="2" fontId="3" fillId="2" borderId="22" xfId="0" applyNumberFormat="1" applyFont="1" applyFill="1" applyBorder="1" applyAlignment="1">
      <alignment horizontal="center" vertical="center" wrapText="1"/>
    </xf>
    <xf numFmtId="2" fontId="3" fillId="2" borderId="24" xfId="0" applyNumberFormat="1" applyFont="1" applyFill="1" applyBorder="1" applyAlignment="1">
      <alignment horizontal="center" vertical="center" wrapText="1"/>
    </xf>
    <xf numFmtId="2" fontId="6" fillId="2" borderId="11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2" fillId="0" borderId="5" xfId="0" applyNumberFormat="1" applyFont="1" applyBorder="1" applyAlignment="1">
      <alignment horizontal="left" wrapText="1"/>
    </xf>
    <xf numFmtId="2" fontId="2" fillId="0" borderId="6" xfId="0" applyNumberFormat="1" applyFont="1" applyBorder="1" applyAlignment="1">
      <alignment horizontal="left" wrapText="1"/>
    </xf>
    <xf numFmtId="2" fontId="11" fillId="0" borderId="7" xfId="0" applyNumberFormat="1" applyFont="1" applyBorder="1" applyAlignment="1" applyProtection="1">
      <alignment horizontal="left" wrapText="1"/>
      <protection locked="0"/>
    </xf>
    <xf numFmtId="2" fontId="11" fillId="0" borderId="8" xfId="0" applyNumberFormat="1" applyFont="1" applyBorder="1" applyAlignment="1" applyProtection="1">
      <alignment horizontal="left" wrapText="1"/>
      <protection locked="0"/>
    </xf>
    <xf numFmtId="2" fontId="11" fillId="0" borderId="9" xfId="0" applyNumberFormat="1" applyFont="1" applyBorder="1" applyAlignment="1" applyProtection="1">
      <alignment horizontal="left" wrapText="1"/>
      <protection locked="0"/>
    </xf>
    <xf numFmtId="2" fontId="2" fillId="0" borderId="6" xfId="0" applyNumberFormat="1" applyFont="1" applyBorder="1" applyAlignment="1">
      <alignment horizontal="center"/>
    </xf>
    <xf numFmtId="2" fontId="11" fillId="0" borderId="6" xfId="0" applyNumberFormat="1" applyFont="1" applyBorder="1" applyAlignment="1" applyProtection="1">
      <alignment horizontal="left" wrapText="1"/>
      <protection locked="0"/>
    </xf>
    <xf numFmtId="2" fontId="11" fillId="0" borderId="63" xfId="0" applyNumberFormat="1" applyFont="1" applyBorder="1" applyAlignment="1" applyProtection="1">
      <alignment horizontal="left" wrapText="1"/>
      <protection locked="0"/>
    </xf>
    <xf numFmtId="2" fontId="5" fillId="2" borderId="14" xfId="0" applyNumberFormat="1" applyFont="1" applyFill="1" applyBorder="1" applyAlignment="1">
      <alignment horizontal="center" vertical="center" wrapText="1"/>
    </xf>
    <xf numFmtId="2" fontId="5" fillId="2" borderId="15" xfId="0" applyNumberFormat="1" applyFont="1" applyFill="1" applyBorder="1" applyAlignment="1">
      <alignment horizontal="center" vertical="center" wrapText="1"/>
    </xf>
    <xf numFmtId="2" fontId="5" fillId="2" borderId="16" xfId="0" applyNumberFormat="1" applyFont="1" applyFill="1" applyBorder="1" applyAlignment="1">
      <alignment horizontal="center" vertical="center" wrapText="1"/>
    </xf>
    <xf numFmtId="2" fontId="5" fillId="2" borderId="11" xfId="0" applyNumberFormat="1" applyFont="1" applyFill="1" applyBorder="1" applyAlignment="1">
      <alignment horizontal="center" vertical="center" wrapText="1"/>
    </xf>
    <xf numFmtId="2" fontId="5" fillId="2" borderId="0" xfId="0" applyNumberFormat="1" applyFont="1" applyFill="1" applyAlignment="1">
      <alignment horizontal="center" vertical="center" wrapText="1"/>
    </xf>
    <xf numFmtId="2" fontId="5" fillId="2" borderId="13" xfId="0" applyNumberFormat="1" applyFont="1" applyFill="1" applyBorder="1" applyAlignment="1">
      <alignment horizontal="center" vertical="center" wrapText="1"/>
    </xf>
    <xf numFmtId="2" fontId="3" fillId="2" borderId="22" xfId="0" applyNumberFormat="1" applyFont="1" applyFill="1" applyBorder="1" applyAlignment="1">
      <alignment horizontal="center" vertical="center"/>
    </xf>
    <xf numFmtId="2" fontId="3" fillId="2" borderId="24" xfId="0" applyNumberFormat="1" applyFont="1" applyFill="1" applyBorder="1" applyAlignment="1">
      <alignment horizontal="center" vertical="center"/>
    </xf>
    <xf numFmtId="2" fontId="3" fillId="2" borderId="27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2" fontId="3" fillId="2" borderId="23" xfId="0" applyNumberFormat="1" applyFont="1" applyFill="1" applyBorder="1" applyAlignment="1">
      <alignment horizontal="center" vertical="center"/>
    </xf>
    <xf numFmtId="2" fontId="3" fillId="2" borderId="28" xfId="0" applyNumberFormat="1" applyFont="1" applyFill="1" applyBorder="1" applyAlignment="1">
      <alignment horizontal="center" vertical="center"/>
    </xf>
    <xf numFmtId="2" fontId="3" fillId="2" borderId="29" xfId="0" applyNumberFormat="1" applyFont="1" applyFill="1" applyBorder="1" applyAlignment="1">
      <alignment horizontal="center" vertical="center"/>
    </xf>
    <xf numFmtId="2" fontId="3" fillId="2" borderId="30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 wrapText="1"/>
    </xf>
    <xf numFmtId="2" fontId="3" fillId="2" borderId="26" xfId="0" applyNumberFormat="1" applyFont="1" applyFill="1" applyBorder="1" applyAlignment="1">
      <alignment horizontal="center" vertical="center" wrapText="1"/>
    </xf>
    <xf numFmtId="2" fontId="3" fillId="2" borderId="30" xfId="0" applyNumberFormat="1" applyFont="1" applyFill="1" applyBorder="1" applyAlignment="1">
      <alignment horizontal="center" vertical="center" wrapText="1"/>
    </xf>
    <xf numFmtId="2" fontId="3" fillId="2" borderId="14" xfId="0" applyNumberFormat="1" applyFont="1" applyFill="1" applyBorder="1" applyAlignment="1">
      <alignment horizontal="center"/>
    </xf>
    <xf numFmtId="2" fontId="3" fillId="2" borderId="15" xfId="0" applyNumberFormat="1" applyFont="1" applyFill="1" applyBorder="1" applyAlignment="1">
      <alignment horizontal="center"/>
    </xf>
    <xf numFmtId="2" fontId="3" fillId="2" borderId="34" xfId="0" applyNumberFormat="1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/>
    </xf>
    <xf numFmtId="2" fontId="3" fillId="2" borderId="26" xfId="0" applyNumberFormat="1" applyFont="1" applyFill="1" applyBorder="1" applyAlignment="1">
      <alignment horizontal="center" vertical="center"/>
    </xf>
    <xf numFmtId="2" fontId="3" fillId="2" borderId="35" xfId="0" applyNumberFormat="1" applyFont="1" applyFill="1" applyBorder="1" applyAlignment="1">
      <alignment horizontal="center" vertical="center"/>
    </xf>
    <xf numFmtId="2" fontId="3" fillId="2" borderId="44" xfId="0" applyNumberFormat="1" applyFont="1" applyFill="1" applyBorder="1" applyAlignment="1">
      <alignment horizontal="center"/>
    </xf>
    <xf numFmtId="2" fontId="3" fillId="2" borderId="45" xfId="0" applyNumberFormat="1" applyFont="1" applyFill="1" applyBorder="1" applyAlignment="1">
      <alignment horizontal="center"/>
    </xf>
    <xf numFmtId="2" fontId="3" fillId="2" borderId="58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 wrapText="1"/>
    </xf>
    <xf numFmtId="2" fontId="3" fillId="2" borderId="31" xfId="0" applyNumberFormat="1" applyFont="1" applyFill="1" applyBorder="1" applyAlignment="1">
      <alignment horizontal="center" wrapText="1"/>
    </xf>
    <xf numFmtId="2" fontId="2" fillId="0" borderId="5" xfId="0" applyNumberFormat="1" applyFont="1" applyBorder="1" applyAlignment="1">
      <alignment horizontal="left"/>
    </xf>
    <xf numFmtId="2" fontId="2" fillId="0" borderId="6" xfId="0" applyNumberFormat="1" applyFont="1" applyBorder="1" applyAlignment="1">
      <alignment horizontal="left"/>
    </xf>
    <xf numFmtId="2" fontId="11" fillId="0" borderId="7" xfId="0" applyNumberFormat="1" applyFont="1" applyBorder="1" applyAlignment="1" applyProtection="1">
      <alignment horizontal="left"/>
      <protection locked="0"/>
    </xf>
    <xf numFmtId="2" fontId="11" fillId="0" borderId="8" xfId="0" applyNumberFormat="1" applyFont="1" applyBorder="1" applyAlignment="1" applyProtection="1">
      <alignment horizontal="left"/>
      <protection locked="0"/>
    </xf>
    <xf numFmtId="2" fontId="11" fillId="0" borderId="9" xfId="0" applyNumberFormat="1" applyFont="1" applyBorder="1" applyAlignment="1" applyProtection="1">
      <alignment horizontal="left"/>
      <protection locked="0"/>
    </xf>
    <xf numFmtId="2" fontId="11" fillId="0" borderId="6" xfId="0" applyNumberFormat="1" applyFont="1" applyBorder="1" applyAlignment="1" applyProtection="1">
      <alignment horizontal="left"/>
      <protection locked="0"/>
    </xf>
    <xf numFmtId="2" fontId="11" fillId="0" borderId="10" xfId="0" applyNumberFormat="1" applyFont="1" applyBorder="1" applyAlignment="1" applyProtection="1">
      <alignment horizontal="left"/>
      <protection locked="0"/>
    </xf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 vertical="center" wrapText="1"/>
    </xf>
    <xf numFmtId="2" fontId="9" fillId="0" borderId="3" xfId="0" applyNumberFormat="1" applyFont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2" fontId="9" fillId="0" borderId="7" xfId="0" applyNumberFormat="1" applyFont="1" applyBorder="1" applyAlignment="1">
      <alignment horizontal="center" vertical="center" wrapText="1"/>
    </xf>
    <xf numFmtId="2" fontId="10" fillId="0" borderId="14" xfId="0" applyNumberFormat="1" applyFont="1" applyBorder="1" applyAlignment="1">
      <alignment horizontal="center" vertical="center" wrapText="1"/>
    </xf>
    <xf numFmtId="2" fontId="10" fillId="0" borderId="15" xfId="0" applyNumberFormat="1" applyFont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2" fontId="10" fillId="0" borderId="33" xfId="0" applyNumberFormat="1" applyFont="1" applyBorder="1" applyAlignment="1">
      <alignment horizontal="center" vertical="center" wrapText="1"/>
    </xf>
    <xf numFmtId="2" fontId="10" fillId="0" borderId="56" xfId="0" applyNumberFormat="1" applyFont="1" applyBorder="1" applyAlignment="1">
      <alignment horizontal="center" vertical="center" wrapText="1"/>
    </xf>
    <xf numFmtId="2" fontId="10" fillId="0" borderId="57" xfId="0" applyNumberFormat="1" applyFont="1" applyBorder="1" applyAlignment="1">
      <alignment horizontal="center" vertical="center" wrapText="1"/>
    </xf>
    <xf numFmtId="2" fontId="10" fillId="0" borderId="14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33" xfId="0" applyNumberFormat="1" applyFont="1" applyBorder="1" applyAlignment="1">
      <alignment horizontal="center" vertical="center"/>
    </xf>
    <xf numFmtId="2" fontId="10" fillId="0" borderId="56" xfId="0" applyNumberFormat="1" applyFont="1" applyBorder="1" applyAlignment="1">
      <alignment horizontal="center" vertical="center"/>
    </xf>
    <xf numFmtId="2" fontId="10" fillId="0" borderId="57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2" fontId="2" fillId="0" borderId="33" xfId="0" applyNumberFormat="1" applyFont="1" applyBorder="1" applyAlignment="1" applyProtection="1">
      <alignment horizontal="center" vertical="center"/>
      <protection locked="0"/>
    </xf>
    <xf numFmtId="2" fontId="2" fillId="0" borderId="56" xfId="0" applyNumberFormat="1" applyFont="1" applyBorder="1" applyAlignment="1" applyProtection="1">
      <alignment horizontal="center" vertical="center"/>
      <protection locked="0"/>
    </xf>
    <xf numFmtId="2" fontId="2" fillId="0" borderId="57" xfId="0" applyNumberFormat="1" applyFont="1" applyBorder="1" applyAlignment="1" applyProtection="1">
      <alignment horizontal="center" vertical="center"/>
      <protection locked="0"/>
    </xf>
    <xf numFmtId="2" fontId="5" fillId="2" borderId="25" xfId="0" applyNumberFormat="1" applyFont="1" applyFill="1" applyBorder="1" applyAlignment="1">
      <alignment horizontal="center" vertical="center" wrapText="1"/>
    </xf>
    <xf numFmtId="2" fontId="3" fillId="2" borderId="25" xfId="0" applyNumberFormat="1" applyFont="1" applyFill="1" applyBorder="1" applyAlignment="1">
      <alignment horizontal="center" vertical="center"/>
    </xf>
    <xf numFmtId="2" fontId="3" fillId="2" borderId="43" xfId="0" applyNumberFormat="1" applyFont="1" applyFill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2" fontId="3" fillId="2" borderId="14" xfId="0" applyNumberFormat="1" applyFont="1" applyFill="1" applyBorder="1" applyAlignment="1">
      <alignment horizontal="center" vertical="center"/>
    </xf>
    <xf numFmtId="2" fontId="3" fillId="2" borderId="41" xfId="0" applyNumberFormat="1" applyFont="1" applyFill="1" applyBorder="1" applyAlignment="1">
      <alignment horizontal="center" vertical="center"/>
    </xf>
    <xf numFmtId="2" fontId="3" fillId="2" borderId="19" xfId="0" applyNumberFormat="1" applyFont="1" applyFill="1" applyBorder="1" applyAlignment="1">
      <alignment horizontal="center" vertical="center"/>
    </xf>
    <xf numFmtId="2" fontId="3" fillId="2" borderId="20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6" fillId="2" borderId="1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3" xfId="0" applyFont="1" applyBorder="1" applyAlignment="1" applyProtection="1">
      <alignment horizontal="center" vertical="center"/>
      <protection locked="0"/>
    </xf>
    <xf numFmtId="0" fontId="2" fillId="0" borderId="56" xfId="0" applyFont="1" applyBorder="1" applyAlignment="1" applyProtection="1">
      <alignment horizontal="center" vertical="center"/>
      <protection locked="0"/>
    </xf>
    <xf numFmtId="0" fontId="2" fillId="0" borderId="5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/>
      <protection locked="0"/>
    </xf>
    <xf numFmtId="0" fontId="11" fillId="0" borderId="8" xfId="0" applyFont="1" applyBorder="1" applyAlignment="1" applyProtection="1">
      <alignment horizontal="left"/>
      <protection locked="0"/>
    </xf>
    <xf numFmtId="0" fontId="11" fillId="0" borderId="9" xfId="0" applyFont="1" applyBorder="1" applyAlignment="1" applyProtection="1">
      <alignment horizontal="left"/>
      <protection locked="0"/>
    </xf>
    <xf numFmtId="0" fontId="11" fillId="0" borderId="6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left"/>
      <protection locked="0"/>
    </xf>
    <xf numFmtId="0" fontId="11" fillId="0" borderId="7" xfId="0" applyFont="1" applyBorder="1" applyAlignment="1" applyProtection="1">
      <alignment horizontal="left" wrapText="1"/>
      <protection locked="0"/>
    </xf>
    <xf numFmtId="0" fontId="11" fillId="0" borderId="8" xfId="0" applyFont="1" applyBorder="1" applyAlignment="1" applyProtection="1">
      <alignment horizontal="left" wrapText="1"/>
      <protection locked="0"/>
    </xf>
    <xf numFmtId="0" fontId="11" fillId="0" borderId="9" xfId="0" applyFont="1" applyBorder="1" applyAlignment="1" applyProtection="1">
      <alignment horizontal="left" wrapText="1"/>
      <protection locked="0"/>
    </xf>
    <xf numFmtId="0" fontId="2" fillId="0" borderId="6" xfId="0" applyFont="1" applyBorder="1" applyAlignment="1">
      <alignment horizontal="center"/>
    </xf>
    <xf numFmtId="0" fontId="11" fillId="0" borderId="6" xfId="0" applyFont="1" applyBorder="1" applyAlignment="1" applyProtection="1">
      <alignment horizontal="left" wrapText="1"/>
      <protection locked="0"/>
    </xf>
    <xf numFmtId="0" fontId="11" fillId="0" borderId="63" xfId="0" applyFont="1" applyBorder="1" applyAlignment="1" applyProtection="1">
      <alignment horizontal="left" wrapText="1"/>
      <protection locked="0"/>
    </xf>
    <xf numFmtId="0" fontId="3" fillId="2" borderId="2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wrapText="1"/>
    </xf>
    <xf numFmtId="0" fontId="3" fillId="2" borderId="31" xfId="0" applyFont="1" applyFill="1" applyBorder="1" applyAlignment="1">
      <alignment horizontal="center" wrapText="1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3" fillId="2" borderId="47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0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4" formatCode="0.00%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76201</xdr:rowOff>
    </xdr:from>
    <xdr:to>
      <xdr:col>2</xdr:col>
      <xdr:colOff>209550</xdr:colOff>
      <xdr:row>0</xdr:row>
      <xdr:rowOff>576906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FFB73B17-2ED8-40E7-9079-1377EE898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114300" y="76201"/>
          <a:ext cx="2009775" cy="500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368012</xdr:colOff>
      <xdr:row>0</xdr:row>
      <xdr:rowOff>31737</xdr:rowOff>
    </xdr:from>
    <xdr:to>
      <xdr:col>2</xdr:col>
      <xdr:colOff>940563</xdr:colOff>
      <xdr:row>4</xdr:row>
      <xdr:rowOff>113847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89F8530C-5EFD-4632-93E0-09AFFC16A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368012" y="31737"/>
          <a:ext cx="3307587" cy="87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654813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42085810-E5A1-44D0-BA67-94279D693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654813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C42AAFCD-6FD2-4157-948A-AEA62743A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654813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18886649-D94B-43BC-89AD-29DA25334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654813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649444A2-A899-4548-9007-2181DCF28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654813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F7B2561D-222C-4FFC-8933-F712C74AE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654813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EA87ADF0-2FB6-4DF2-BB7C-A71C152BA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654813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B077E955-F870-4071-8658-858583400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654813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184F0517-FD9C-4946-A796-E591F2288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654813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BF874B8D-BC63-46A8-8BF5-DD3F5CD86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654813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223920AA-0E69-4A3A-A305-EE7787400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1090242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FBC91C03-A65B-4109-AB21-9D8249C56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1090242</xdr:colOff>
      <xdr:row>5</xdr:row>
      <xdr:rowOff>4990</xdr:rowOff>
    </xdr:to>
    <xdr:pic>
      <xdr:nvPicPr>
        <xdr:cNvPr id="2" name="Imagen 1" descr="Inicio - E.S.E. Hospital San Jerónimo de Montería">
          <a:extLst>
            <a:ext uri="{FF2B5EF4-FFF2-40B4-BE49-F238E27FC236}">
              <a16:creationId xmlns:a16="http://schemas.microsoft.com/office/drawing/2014/main" id="{5FF293E2-7C90-4BB3-8934-D08D0CE30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3505" cy="863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860B-3861-41A4-A6BC-3A0F660B850D}">
  <dimension ref="A1:E41"/>
  <sheetViews>
    <sheetView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E15" sqref="E15"/>
    </sheetView>
  </sheetViews>
  <sheetFormatPr baseColWidth="10" defaultColWidth="0" defaultRowHeight="15" x14ac:dyDescent="0.25"/>
  <cols>
    <col min="1" max="1" width="15.5703125" style="6" customWidth="1"/>
    <col min="2" max="2" width="13.140625" style="6" customWidth="1"/>
    <col min="3" max="3" width="20.42578125" style="6" customWidth="1"/>
    <col min="4" max="4" width="28" style="6" customWidth="1"/>
    <col min="5" max="5" width="75" style="6" customWidth="1"/>
    <col min="6" max="16384" width="11.42578125" style="6" hidden="1"/>
  </cols>
  <sheetData>
    <row r="1" spans="1:5" ht="55.5" customHeight="1" thickBot="1" x14ac:dyDescent="0.3">
      <c r="A1" s="229"/>
      <c r="B1" s="229"/>
      <c r="C1" s="230" t="s">
        <v>0</v>
      </c>
      <c r="D1" s="230"/>
      <c r="E1" s="230"/>
    </row>
    <row r="2" spans="1:5" x14ac:dyDescent="0.25">
      <c r="A2" s="231" t="s">
        <v>1</v>
      </c>
      <c r="B2" s="232"/>
      <c r="C2" s="232"/>
      <c r="D2" s="232"/>
      <c r="E2" s="233"/>
    </row>
    <row r="3" spans="1:5" ht="15.75" thickBot="1" x14ac:dyDescent="0.3">
      <c r="A3" s="234" t="s">
        <v>2</v>
      </c>
      <c r="B3" s="235"/>
      <c r="C3" s="235"/>
      <c r="D3" s="235"/>
      <c r="E3" s="236"/>
    </row>
    <row r="4" spans="1:5" s="55" customFormat="1" ht="15.75" thickBot="1" x14ac:dyDescent="0.3">
      <c r="A4" s="6"/>
      <c r="B4" s="6"/>
      <c r="C4" s="6"/>
      <c r="D4" s="6"/>
      <c r="E4" s="6"/>
    </row>
    <row r="5" spans="1:5" ht="15.75" thickBot="1" x14ac:dyDescent="0.3">
      <c r="A5" s="56" t="s">
        <v>3</v>
      </c>
      <c r="B5" s="57" t="s">
        <v>4</v>
      </c>
      <c r="C5" s="57"/>
      <c r="D5" s="57" t="s">
        <v>5</v>
      </c>
      <c r="E5" s="58" t="s">
        <v>6</v>
      </c>
    </row>
    <row r="6" spans="1:5" x14ac:dyDescent="0.25">
      <c r="A6" s="237" t="s">
        <v>7</v>
      </c>
      <c r="B6" s="59">
        <v>1</v>
      </c>
      <c r="C6" s="239" t="s">
        <v>8</v>
      </c>
      <c r="D6" s="239"/>
      <c r="E6" s="60" t="s">
        <v>9</v>
      </c>
    </row>
    <row r="7" spans="1:5" x14ac:dyDescent="0.25">
      <c r="A7" s="238"/>
      <c r="B7" s="61">
        <v>2</v>
      </c>
      <c r="C7" s="240" t="s">
        <v>10</v>
      </c>
      <c r="D7" s="240"/>
      <c r="E7" s="62" t="s">
        <v>11</v>
      </c>
    </row>
    <row r="8" spans="1:5" x14ac:dyDescent="0.25">
      <c r="A8" s="238"/>
      <c r="B8" s="61">
        <v>3</v>
      </c>
      <c r="C8" s="240" t="s">
        <v>12</v>
      </c>
      <c r="D8" s="240"/>
      <c r="E8" s="62" t="s">
        <v>13</v>
      </c>
    </row>
    <row r="9" spans="1:5" x14ac:dyDescent="0.25">
      <c r="A9" s="238"/>
      <c r="B9" s="61">
        <v>4</v>
      </c>
      <c r="C9" s="240" t="s">
        <v>14</v>
      </c>
      <c r="D9" s="240"/>
      <c r="E9" s="62" t="s">
        <v>15</v>
      </c>
    </row>
    <row r="10" spans="1:5" x14ac:dyDescent="0.25">
      <c r="A10" s="238"/>
      <c r="B10" s="61">
        <v>5</v>
      </c>
      <c r="C10" s="240" t="s">
        <v>16</v>
      </c>
      <c r="D10" s="240"/>
      <c r="E10" s="62" t="s">
        <v>17</v>
      </c>
    </row>
    <row r="11" spans="1:5" x14ac:dyDescent="0.25">
      <c r="A11" s="238"/>
      <c r="B11" s="61">
        <v>6</v>
      </c>
      <c r="C11" s="240" t="s">
        <v>18</v>
      </c>
      <c r="D11" s="240"/>
      <c r="E11" s="62" t="s">
        <v>19</v>
      </c>
    </row>
    <row r="12" spans="1:5" x14ac:dyDescent="0.25">
      <c r="A12" s="238"/>
      <c r="B12" s="61">
        <v>7</v>
      </c>
      <c r="C12" s="240" t="s">
        <v>20</v>
      </c>
      <c r="D12" s="240"/>
      <c r="E12" s="62" t="s">
        <v>21</v>
      </c>
    </row>
    <row r="13" spans="1:5" x14ac:dyDescent="0.25">
      <c r="A13" s="238"/>
      <c r="B13" s="61">
        <v>8</v>
      </c>
      <c r="C13" s="240" t="s">
        <v>22</v>
      </c>
      <c r="D13" s="240"/>
      <c r="E13" s="62" t="s">
        <v>23</v>
      </c>
    </row>
    <row r="14" spans="1:5" x14ac:dyDescent="0.25">
      <c r="A14" s="238"/>
      <c r="B14" s="61">
        <v>9</v>
      </c>
      <c r="C14" s="240" t="s">
        <v>24</v>
      </c>
      <c r="D14" s="240"/>
      <c r="E14" s="62" t="s">
        <v>25</v>
      </c>
    </row>
    <row r="15" spans="1:5" ht="43.5" x14ac:dyDescent="0.25">
      <c r="A15" s="243" t="s">
        <v>26</v>
      </c>
      <c r="B15" s="1">
        <v>10</v>
      </c>
      <c r="C15" s="244" t="s">
        <v>27</v>
      </c>
      <c r="D15" s="63" t="s">
        <v>28</v>
      </c>
      <c r="E15" s="64" t="s">
        <v>29</v>
      </c>
    </row>
    <row r="16" spans="1:5" ht="29.25" x14ac:dyDescent="0.25">
      <c r="A16" s="243"/>
      <c r="B16" s="1">
        <v>11</v>
      </c>
      <c r="C16" s="245"/>
      <c r="D16" s="65" t="s">
        <v>30</v>
      </c>
      <c r="E16" s="64" t="s">
        <v>31</v>
      </c>
    </row>
    <row r="17" spans="1:5" ht="29.25" x14ac:dyDescent="0.25">
      <c r="A17" s="243"/>
      <c r="B17" s="1">
        <v>12</v>
      </c>
      <c r="C17" s="245"/>
      <c r="D17" s="65" t="s">
        <v>32</v>
      </c>
      <c r="E17" s="64" t="s">
        <v>33</v>
      </c>
    </row>
    <row r="18" spans="1:5" ht="29.25" x14ac:dyDescent="0.25">
      <c r="A18" s="243"/>
      <c r="B18" s="1">
        <v>13</v>
      </c>
      <c r="C18" s="246"/>
      <c r="D18" s="63" t="s">
        <v>34</v>
      </c>
      <c r="E18" s="64" t="s">
        <v>35</v>
      </c>
    </row>
    <row r="19" spans="1:5" ht="29.25" x14ac:dyDescent="0.25">
      <c r="A19" s="243"/>
      <c r="B19" s="1">
        <v>14</v>
      </c>
      <c r="C19" s="244" t="s">
        <v>36</v>
      </c>
      <c r="D19" s="65" t="s">
        <v>37</v>
      </c>
      <c r="E19" s="64" t="s">
        <v>38</v>
      </c>
    </row>
    <row r="20" spans="1:5" ht="29.25" x14ac:dyDescent="0.25">
      <c r="A20" s="243"/>
      <c r="B20" s="1">
        <v>15</v>
      </c>
      <c r="C20" s="245"/>
      <c r="D20" s="65" t="s">
        <v>39</v>
      </c>
      <c r="E20" s="64" t="s">
        <v>40</v>
      </c>
    </row>
    <row r="21" spans="1:5" ht="29.25" x14ac:dyDescent="0.25">
      <c r="A21" s="243"/>
      <c r="B21" s="1">
        <v>16</v>
      </c>
      <c r="C21" s="245"/>
      <c r="D21" s="65" t="s">
        <v>41</v>
      </c>
      <c r="E21" s="64" t="s">
        <v>38</v>
      </c>
    </row>
    <row r="22" spans="1:5" ht="29.25" x14ac:dyDescent="0.25">
      <c r="A22" s="243"/>
      <c r="B22" s="1">
        <v>17</v>
      </c>
      <c r="C22" s="245"/>
      <c r="D22" s="65" t="s">
        <v>42</v>
      </c>
      <c r="E22" s="64" t="s">
        <v>38</v>
      </c>
    </row>
    <row r="23" spans="1:5" ht="29.25" x14ac:dyDescent="0.25">
      <c r="A23" s="243"/>
      <c r="B23" s="1">
        <v>18</v>
      </c>
      <c r="C23" s="246"/>
      <c r="D23" s="63" t="s">
        <v>43</v>
      </c>
      <c r="E23" s="64" t="s">
        <v>44</v>
      </c>
    </row>
    <row r="24" spans="1:5" ht="43.5" customHeight="1" x14ac:dyDescent="0.25">
      <c r="A24" s="243"/>
      <c r="B24" s="1">
        <v>19</v>
      </c>
      <c r="C24" s="244" t="s">
        <v>45</v>
      </c>
      <c r="D24" s="65" t="s">
        <v>46</v>
      </c>
      <c r="E24" s="64" t="s">
        <v>47</v>
      </c>
    </row>
    <row r="25" spans="1:5" ht="29.25" x14ac:dyDescent="0.25">
      <c r="A25" s="243"/>
      <c r="B25" s="1">
        <v>20</v>
      </c>
      <c r="C25" s="245"/>
      <c r="D25" s="65" t="s">
        <v>48</v>
      </c>
      <c r="E25" s="64" t="s">
        <v>49</v>
      </c>
    </row>
    <row r="26" spans="1:5" ht="29.25" x14ac:dyDescent="0.25">
      <c r="A26" s="243"/>
      <c r="B26" s="1">
        <v>21</v>
      </c>
      <c r="C26" s="245"/>
      <c r="D26" s="65" t="s">
        <v>50</v>
      </c>
      <c r="E26" s="64" t="s">
        <v>51</v>
      </c>
    </row>
    <row r="27" spans="1:5" ht="29.25" x14ac:dyDescent="0.25">
      <c r="A27" s="243"/>
      <c r="B27" s="1">
        <v>22</v>
      </c>
      <c r="C27" s="245"/>
      <c r="D27" s="65" t="s">
        <v>52</v>
      </c>
      <c r="E27" s="64" t="s">
        <v>53</v>
      </c>
    </row>
    <row r="28" spans="1:5" ht="29.25" x14ac:dyDescent="0.25">
      <c r="A28" s="243"/>
      <c r="B28" s="1">
        <v>23</v>
      </c>
      <c r="C28" s="245"/>
      <c r="D28" s="65" t="s">
        <v>54</v>
      </c>
      <c r="E28" s="64" t="s">
        <v>55</v>
      </c>
    </row>
    <row r="29" spans="1:5" ht="29.25" x14ac:dyDescent="0.25">
      <c r="A29" s="243"/>
      <c r="B29" s="1">
        <v>24</v>
      </c>
      <c r="C29" s="245"/>
      <c r="D29" s="65" t="s">
        <v>56</v>
      </c>
      <c r="E29" s="64" t="s">
        <v>57</v>
      </c>
    </row>
    <row r="30" spans="1:5" ht="29.25" x14ac:dyDescent="0.25">
      <c r="A30" s="243"/>
      <c r="B30" s="1">
        <v>25</v>
      </c>
      <c r="C30" s="246"/>
      <c r="D30" s="65" t="s">
        <v>58</v>
      </c>
      <c r="E30" s="64" t="s">
        <v>59</v>
      </c>
    </row>
    <row r="31" spans="1:5" ht="43.5" x14ac:dyDescent="0.25">
      <c r="A31" s="243"/>
      <c r="B31" s="1">
        <v>26</v>
      </c>
      <c r="C31" s="247" t="s">
        <v>60</v>
      </c>
      <c r="D31" s="247"/>
      <c r="E31" s="64" t="s">
        <v>61</v>
      </c>
    </row>
    <row r="32" spans="1:5" x14ac:dyDescent="0.25">
      <c r="A32" s="238" t="s">
        <v>62</v>
      </c>
      <c r="B32" s="61">
        <v>27</v>
      </c>
      <c r="C32" s="241" t="s">
        <v>63</v>
      </c>
      <c r="D32" s="66" t="s">
        <v>64</v>
      </c>
      <c r="E32" s="62" t="s">
        <v>65</v>
      </c>
    </row>
    <row r="33" spans="1:5" x14ac:dyDescent="0.25">
      <c r="A33" s="238"/>
      <c r="B33" s="61">
        <v>28</v>
      </c>
      <c r="C33" s="241"/>
      <c r="D33" s="66" t="s">
        <v>66</v>
      </c>
      <c r="E33" s="62" t="s">
        <v>67</v>
      </c>
    </row>
    <row r="34" spans="1:5" x14ac:dyDescent="0.25">
      <c r="A34" s="238"/>
      <c r="B34" s="61">
        <v>29</v>
      </c>
      <c r="C34" s="241"/>
      <c r="D34" s="66" t="s">
        <v>68</v>
      </c>
      <c r="E34" s="62" t="s">
        <v>69</v>
      </c>
    </row>
    <row r="35" spans="1:5" x14ac:dyDescent="0.25">
      <c r="A35" s="238"/>
      <c r="B35" s="61">
        <v>30</v>
      </c>
      <c r="C35" s="241"/>
      <c r="D35" s="66" t="s">
        <v>70</v>
      </c>
      <c r="E35" s="62" t="s">
        <v>71</v>
      </c>
    </row>
    <row r="36" spans="1:5" ht="29.25" x14ac:dyDescent="0.25">
      <c r="A36" s="238"/>
      <c r="B36" s="61"/>
      <c r="C36" s="241"/>
      <c r="D36" s="67" t="s">
        <v>72</v>
      </c>
      <c r="E36" s="62" t="s">
        <v>73</v>
      </c>
    </row>
    <row r="37" spans="1:5" ht="100.5" x14ac:dyDescent="0.25">
      <c r="A37" s="238"/>
      <c r="B37" s="61">
        <v>31</v>
      </c>
      <c r="C37" s="241"/>
      <c r="D37" s="68" t="s">
        <v>60</v>
      </c>
      <c r="E37" s="62" t="s">
        <v>74</v>
      </c>
    </row>
    <row r="38" spans="1:5" ht="86.25" x14ac:dyDescent="0.25">
      <c r="A38" s="238"/>
      <c r="B38" s="61">
        <v>28</v>
      </c>
      <c r="C38" s="241" t="s">
        <v>62</v>
      </c>
      <c r="D38" s="241"/>
      <c r="E38" s="62" t="s">
        <v>75</v>
      </c>
    </row>
    <row r="39" spans="1:5" x14ac:dyDescent="0.25">
      <c r="A39" s="69"/>
    </row>
    <row r="40" spans="1:5" x14ac:dyDescent="0.25">
      <c r="B40" s="6" t="s">
        <v>76</v>
      </c>
    </row>
    <row r="41" spans="1:5" x14ac:dyDescent="0.25">
      <c r="B41" s="242"/>
      <c r="C41" s="242"/>
      <c r="D41" s="242"/>
      <c r="E41" s="242"/>
    </row>
  </sheetData>
  <mergeCells count="23">
    <mergeCell ref="A32:A38"/>
    <mergeCell ref="C32:C37"/>
    <mergeCell ref="C38:D38"/>
    <mergeCell ref="B41:E41"/>
    <mergeCell ref="C11:D11"/>
    <mergeCell ref="C12:D12"/>
    <mergeCell ref="C13:D13"/>
    <mergeCell ref="C14:D14"/>
    <mergeCell ref="A15:A31"/>
    <mergeCell ref="C15:C18"/>
    <mergeCell ref="C19:C23"/>
    <mergeCell ref="C24:C30"/>
    <mergeCell ref="C31:D31"/>
    <mergeCell ref="A1:B1"/>
    <mergeCell ref="C1:E1"/>
    <mergeCell ref="A2:E2"/>
    <mergeCell ref="A3:E3"/>
    <mergeCell ref="A6:A14"/>
    <mergeCell ref="C6:D6"/>
    <mergeCell ref="C7:D7"/>
    <mergeCell ref="C8:D8"/>
    <mergeCell ref="C9:D9"/>
    <mergeCell ref="C10:D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C507-8FA0-4A6B-A0D0-B4C1890239AD}">
  <dimension ref="A1:V68"/>
  <sheetViews>
    <sheetView showGridLines="0" zoomScale="70" zoomScaleNormal="70" workbookViewId="0">
      <selection activeCell="D10" sqref="D10:J10"/>
    </sheetView>
  </sheetViews>
  <sheetFormatPr baseColWidth="10" defaultColWidth="0" defaultRowHeight="15" zeroHeight="1" x14ac:dyDescent="0.25"/>
  <cols>
    <col min="1" max="1" width="17.85546875" style="88" bestFit="1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3.5703125" style="88" bestFit="1" customWidth="1"/>
    <col min="19" max="19" width="11.42578125" style="88" customWidth="1"/>
    <col min="20" max="20" width="11.42578125" customWidth="1"/>
    <col min="21" max="21" width="9.42578125" hidden="1" customWidth="1"/>
    <col min="22" max="22" width="0" hidden="1" customWidth="1"/>
    <col min="23" max="16384" width="11.42578125" hidden="1"/>
  </cols>
  <sheetData>
    <row r="1" spans="1:19" x14ac:dyDescent="0.25">
      <c r="A1" s="310"/>
      <c r="B1" s="311"/>
      <c r="C1" s="311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12"/>
      <c r="B2" s="313"/>
      <c r="C2" s="313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12"/>
      <c r="B3" s="313"/>
      <c r="C3" s="313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12"/>
      <c r="B4" s="313"/>
      <c r="C4" s="313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12"/>
      <c r="B5" s="313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12"/>
      <c r="B6" s="313"/>
      <c r="C6" s="313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03" t="s">
        <v>81</v>
      </c>
      <c r="B7" s="304"/>
      <c r="C7" s="304"/>
      <c r="D7" s="305" t="s">
        <v>155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03" t="s">
        <v>83</v>
      </c>
      <c r="B8" s="304"/>
      <c r="C8" s="304"/>
      <c r="D8" s="305" t="s">
        <v>156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159</v>
      </c>
      <c r="O8" s="308"/>
      <c r="P8" s="308"/>
      <c r="Q8" s="308"/>
      <c r="R8" s="308"/>
      <c r="S8" s="309"/>
    </row>
    <row r="9" spans="1:19" x14ac:dyDescent="0.25">
      <c r="A9" s="303" t="s">
        <v>85</v>
      </c>
      <c r="B9" s="304"/>
      <c r="C9" s="304"/>
      <c r="D9" s="305" t="s">
        <v>157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161</v>
      </c>
      <c r="O9" s="308"/>
      <c r="P9" s="308"/>
      <c r="Q9" s="308"/>
      <c r="R9" s="308"/>
      <c r="S9" s="309"/>
    </row>
    <row r="10" spans="1:19" x14ac:dyDescent="0.25">
      <c r="A10" s="303" t="s">
        <v>87</v>
      </c>
      <c r="B10" s="304"/>
      <c r="C10" s="304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160</v>
      </c>
      <c r="O10" s="308"/>
      <c r="P10" s="308"/>
      <c r="Q10" s="308"/>
      <c r="R10" s="308"/>
      <c r="S10" s="309"/>
    </row>
    <row r="11" spans="1:19" x14ac:dyDescent="0.25">
      <c r="A11" s="266" t="s">
        <v>89</v>
      </c>
      <c r="B11" s="267"/>
      <c r="C11" s="267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97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97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274" t="s">
        <v>91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98"/>
    </row>
    <row r="17" spans="1:19" ht="15.75" thickBot="1" x14ac:dyDescent="0.3">
      <c r="A17" s="277"/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9"/>
      <c r="S17" s="98"/>
    </row>
    <row r="18" spans="1:19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19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</row>
    <row r="20" spans="1:19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</row>
    <row r="21" spans="1:19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</row>
    <row r="22" spans="1:19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19" x14ac:dyDescent="0.25">
      <c r="A23" s="3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19" x14ac:dyDescent="0.25">
      <c r="A24" s="3">
        <v>3</v>
      </c>
      <c r="B24" s="86"/>
      <c r="C24" s="87"/>
      <c r="D24" s="87"/>
      <c r="E24" s="103">
        <f t="shared" si="0"/>
        <v>0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0</v>
      </c>
      <c r="S24" s="98"/>
    </row>
    <row r="25" spans="1:19" x14ac:dyDescent="0.25">
      <c r="A25" s="3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19" x14ac:dyDescent="0.25">
      <c r="A26" s="3">
        <v>5</v>
      </c>
      <c r="B26" s="86"/>
      <c r="C26" s="87"/>
      <c r="D26" s="87"/>
      <c r="E26" s="103">
        <f t="shared" si="0"/>
        <v>0</v>
      </c>
      <c r="F26" s="86"/>
      <c r="G26" s="87"/>
      <c r="H26" s="87"/>
      <c r="I26" s="87"/>
      <c r="J26" s="103">
        <f t="shared" si="1"/>
        <v>0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</v>
      </c>
      <c r="R26" s="91">
        <f t="shared" si="4"/>
        <v>0</v>
      </c>
      <c r="S26" s="98"/>
    </row>
    <row r="27" spans="1:19" x14ac:dyDescent="0.25">
      <c r="A27" s="3">
        <v>6</v>
      </c>
      <c r="B27" s="86"/>
      <c r="C27" s="87"/>
      <c r="D27" s="87"/>
      <c r="E27" s="103">
        <f t="shared" si="0"/>
        <v>0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0</v>
      </c>
      <c r="S27" s="98"/>
    </row>
    <row r="28" spans="1:19" x14ac:dyDescent="0.25">
      <c r="A28" s="3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19" x14ac:dyDescent="0.25">
      <c r="A29" s="3">
        <v>8</v>
      </c>
      <c r="B29" s="86"/>
      <c r="C29" s="87"/>
      <c r="D29" s="87">
        <v>3.2</v>
      </c>
      <c r="E29" s="103">
        <f t="shared" si="0"/>
        <v>3.2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3.2</v>
      </c>
      <c r="S29" s="98"/>
    </row>
    <row r="30" spans="1:19" x14ac:dyDescent="0.25">
      <c r="A30" s="3">
        <v>9</v>
      </c>
      <c r="B30" s="86"/>
      <c r="C30" s="87"/>
      <c r="D30" s="87"/>
      <c r="E30" s="103">
        <f t="shared" si="0"/>
        <v>0</v>
      </c>
      <c r="F30" s="86"/>
      <c r="G30" s="87"/>
      <c r="H30" s="87"/>
      <c r="I30" s="87"/>
      <c r="J30" s="103">
        <f t="shared" si="1"/>
        <v>0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</v>
      </c>
      <c r="R30" s="91">
        <f t="shared" si="4"/>
        <v>0</v>
      </c>
      <c r="S30" s="98"/>
    </row>
    <row r="31" spans="1:19" x14ac:dyDescent="0.25">
      <c r="A31" s="3">
        <v>10</v>
      </c>
      <c r="B31" s="86"/>
      <c r="C31" s="87"/>
      <c r="D31" s="87"/>
      <c r="E31" s="103">
        <f t="shared" si="0"/>
        <v>0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0</v>
      </c>
      <c r="S31" s="98"/>
    </row>
    <row r="32" spans="1:19" x14ac:dyDescent="0.25">
      <c r="A32" s="3">
        <v>11</v>
      </c>
      <c r="B32" s="86"/>
      <c r="C32" s="87"/>
      <c r="D32" s="87"/>
      <c r="E32" s="103">
        <f t="shared" si="0"/>
        <v>0</v>
      </c>
      <c r="F32" s="86"/>
      <c r="G32" s="87"/>
      <c r="H32" s="87"/>
      <c r="I32" s="87"/>
      <c r="J32" s="103">
        <f t="shared" si="1"/>
        <v>0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</v>
      </c>
      <c r="R32" s="91">
        <f t="shared" si="4"/>
        <v>0</v>
      </c>
      <c r="S32" s="98"/>
    </row>
    <row r="33" spans="1:19" x14ac:dyDescent="0.25">
      <c r="A33" s="3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3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3">
        <v>14</v>
      </c>
      <c r="B35" s="86"/>
      <c r="C35" s="87"/>
      <c r="D35" s="87"/>
      <c r="E35" s="103">
        <f t="shared" si="0"/>
        <v>0</v>
      </c>
      <c r="F35" s="86"/>
      <c r="G35" s="87"/>
      <c r="H35" s="87"/>
      <c r="I35" s="87"/>
      <c r="J35" s="103">
        <f t="shared" si="1"/>
        <v>0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0</v>
      </c>
      <c r="R35" s="91">
        <f t="shared" si="4"/>
        <v>0</v>
      </c>
      <c r="S35" s="98"/>
    </row>
    <row r="36" spans="1:19" x14ac:dyDescent="0.25">
      <c r="A36" s="3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3">
        <v>16</v>
      </c>
      <c r="B37" s="86"/>
      <c r="C37" s="87"/>
      <c r="D37" s="87"/>
      <c r="E37" s="103">
        <f t="shared" si="0"/>
        <v>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0</v>
      </c>
      <c r="S37" s="98"/>
    </row>
    <row r="38" spans="1:19" x14ac:dyDescent="0.25">
      <c r="A38" s="3">
        <v>17</v>
      </c>
      <c r="B38" s="86"/>
      <c r="C38" s="87"/>
      <c r="D38" s="87"/>
      <c r="E38" s="103">
        <f t="shared" si="0"/>
        <v>0</v>
      </c>
      <c r="F38" s="86"/>
      <c r="G38" s="87"/>
      <c r="H38" s="87"/>
      <c r="I38" s="87"/>
      <c r="J38" s="103">
        <f t="shared" si="1"/>
        <v>0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0</v>
      </c>
      <c r="R38" s="91">
        <f t="shared" si="4"/>
        <v>0</v>
      </c>
      <c r="S38" s="98"/>
    </row>
    <row r="39" spans="1:19" x14ac:dyDescent="0.25">
      <c r="A39" s="3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3">
        <v>19</v>
      </c>
      <c r="B40" s="86"/>
      <c r="C40" s="87"/>
      <c r="D40" s="87"/>
      <c r="E40" s="103">
        <f t="shared" si="0"/>
        <v>0</v>
      </c>
      <c r="F40" s="86"/>
      <c r="G40" s="87"/>
      <c r="H40" s="87"/>
      <c r="I40" s="87"/>
      <c r="J40" s="103">
        <f t="shared" si="1"/>
        <v>0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</v>
      </c>
      <c r="R40" s="91">
        <f t="shared" si="4"/>
        <v>0</v>
      </c>
      <c r="S40" s="98"/>
    </row>
    <row r="41" spans="1:19" x14ac:dyDescent="0.25">
      <c r="A41" s="3">
        <v>20</v>
      </c>
      <c r="B41" s="86"/>
      <c r="C41" s="87"/>
      <c r="D41" s="87"/>
      <c r="E41" s="103">
        <f t="shared" si="0"/>
        <v>0</v>
      </c>
      <c r="F41" s="86"/>
      <c r="G41" s="87"/>
      <c r="H41" s="87"/>
      <c r="I41" s="87"/>
      <c r="J41" s="103">
        <f t="shared" si="1"/>
        <v>0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0</v>
      </c>
      <c r="R41" s="91">
        <f t="shared" si="4"/>
        <v>0</v>
      </c>
      <c r="S41" s="98"/>
    </row>
    <row r="42" spans="1:19" x14ac:dyDescent="0.25">
      <c r="A42" s="3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3">
        <v>22</v>
      </c>
      <c r="B43" s="86"/>
      <c r="C43" s="87"/>
      <c r="D43" s="87">
        <v>10</v>
      </c>
      <c r="E43" s="103">
        <f t="shared" si="0"/>
        <v>10</v>
      </c>
      <c r="F43" s="86">
        <v>0.5</v>
      </c>
      <c r="G43" s="87"/>
      <c r="H43" s="87"/>
      <c r="I43" s="87"/>
      <c r="J43" s="103">
        <f t="shared" si="1"/>
        <v>0.5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0.5</v>
      </c>
      <c r="R43" s="91">
        <f t="shared" si="4"/>
        <v>10.5</v>
      </c>
      <c r="S43" s="98"/>
    </row>
    <row r="44" spans="1:19" x14ac:dyDescent="0.25">
      <c r="A44" s="3">
        <v>23</v>
      </c>
      <c r="B44" s="86"/>
      <c r="C44" s="87"/>
      <c r="D44" s="87"/>
      <c r="E44" s="103">
        <f t="shared" si="0"/>
        <v>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0</v>
      </c>
      <c r="S44" s="98"/>
    </row>
    <row r="45" spans="1:19" x14ac:dyDescent="0.25">
      <c r="A45" s="3">
        <v>24</v>
      </c>
      <c r="B45" s="86"/>
      <c r="C45" s="87"/>
      <c r="D45" s="87"/>
      <c r="E45" s="103">
        <f t="shared" si="0"/>
        <v>0</v>
      </c>
      <c r="F45" s="86"/>
      <c r="G45" s="87"/>
      <c r="H45" s="87"/>
      <c r="I45" s="87"/>
      <c r="J45" s="103">
        <f t="shared" si="1"/>
        <v>0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0</v>
      </c>
      <c r="R45" s="91">
        <f t="shared" si="4"/>
        <v>0</v>
      </c>
      <c r="S45" s="98"/>
    </row>
    <row r="46" spans="1:19" x14ac:dyDescent="0.25">
      <c r="A46" s="3">
        <v>25</v>
      </c>
      <c r="B46" s="86"/>
      <c r="C46" s="87"/>
      <c r="D46" s="87"/>
      <c r="E46" s="103">
        <f t="shared" si="0"/>
        <v>0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0</v>
      </c>
      <c r="S46" s="98"/>
    </row>
    <row r="47" spans="1:19" x14ac:dyDescent="0.25">
      <c r="A47" s="3">
        <v>26</v>
      </c>
      <c r="B47" s="86"/>
      <c r="C47" s="87"/>
      <c r="D47" s="87"/>
      <c r="E47" s="103">
        <f t="shared" si="0"/>
        <v>0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0</v>
      </c>
      <c r="S47" s="98"/>
    </row>
    <row r="48" spans="1:19" x14ac:dyDescent="0.25">
      <c r="A48" s="3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3">
        <v>28</v>
      </c>
      <c r="B49" s="86"/>
      <c r="C49" s="87"/>
      <c r="D49" s="87"/>
      <c r="E49" s="103">
        <f t="shared" si="0"/>
        <v>0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0</v>
      </c>
      <c r="S49" s="98"/>
    </row>
    <row r="50" spans="1:19" x14ac:dyDescent="0.25">
      <c r="A50" s="3">
        <v>29</v>
      </c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3">
        <v>30</v>
      </c>
      <c r="B51" s="86"/>
      <c r="C51" s="87"/>
      <c r="D51" s="87"/>
      <c r="E51" s="103">
        <f t="shared" si="0"/>
        <v>0</v>
      </c>
      <c r="F51" s="86"/>
      <c r="G51" s="87"/>
      <c r="H51" s="87"/>
      <c r="I51" s="87"/>
      <c r="J51" s="103">
        <f t="shared" si="1"/>
        <v>0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0</v>
      </c>
      <c r="R51" s="91">
        <f t="shared" si="4"/>
        <v>0</v>
      </c>
      <c r="S51" s="98"/>
    </row>
    <row r="52" spans="1:19" ht="15.75" thickBot="1" x14ac:dyDescent="0.3">
      <c r="A52" s="3">
        <v>31</v>
      </c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ht="15.75" thickBot="1" x14ac:dyDescent="0.3">
      <c r="A53" s="145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13.2</v>
      </c>
      <c r="E53" s="170">
        <f>+SUM(E22:E52)</f>
        <v>13.2</v>
      </c>
      <c r="F53" s="168">
        <f t="shared" ref="F53:O53" si="6">+SUM(F22:F52)</f>
        <v>0.5</v>
      </c>
      <c r="G53" s="169">
        <f t="shared" si="6"/>
        <v>0</v>
      </c>
      <c r="H53" s="169">
        <f t="shared" si="6"/>
        <v>0</v>
      </c>
      <c r="I53" s="169">
        <f t="shared" si="6"/>
        <v>0</v>
      </c>
      <c r="J53" s="170">
        <f>+SUM(J22:J52)</f>
        <v>0.5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>+SUM(P22:P52)</f>
        <v>0</v>
      </c>
      <c r="Q53" s="173">
        <f>+SUM(Q22:Q52)</f>
        <v>0.5</v>
      </c>
      <c r="R53" s="174">
        <f>+SUM(R22:R52)</f>
        <v>13.7</v>
      </c>
      <c r="S53" s="175">
        <f>+E53+Q53</f>
        <v>13.7</v>
      </c>
    </row>
    <row r="54" spans="1:19" x14ac:dyDescent="0.25">
      <c r="A54" s="9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9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264" t="s">
        <v>111</v>
      </c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R56" s="90"/>
      <c r="S56" s="98"/>
    </row>
    <row r="57" spans="1:19" x14ac:dyDescent="0.25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R57" s="90"/>
      <c r="S57" s="98"/>
    </row>
    <row r="58" spans="1:19" ht="15.75" thickBot="1" x14ac:dyDescent="0.3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250">
        <v>33</v>
      </c>
      <c r="K59" s="251"/>
      <c r="L59" s="251"/>
      <c r="M59" s="251"/>
      <c r="N59" s="251"/>
      <c r="O59" s="252"/>
      <c r="R59" s="166"/>
      <c r="S59" s="142"/>
    </row>
    <row r="60" spans="1:19" ht="15.75" thickBot="1" x14ac:dyDescent="0.3">
      <c r="A60" s="248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257" t="s">
        <v>112</v>
      </c>
      <c r="J60" s="107"/>
      <c r="K60" s="259" t="s">
        <v>114</v>
      </c>
      <c r="L60" s="260"/>
      <c r="M60" s="260"/>
      <c r="N60" s="261"/>
      <c r="O60" s="262" t="s">
        <v>115</v>
      </c>
      <c r="R60" s="92"/>
      <c r="S60" s="98"/>
    </row>
    <row r="61" spans="1:19" ht="60" x14ac:dyDescent="0.25">
      <c r="A61" s="249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258"/>
      <c r="J61" s="99" t="s">
        <v>121</v>
      </c>
      <c r="K61" s="146" t="s">
        <v>122</v>
      </c>
      <c r="L61" s="147" t="s">
        <v>123</v>
      </c>
      <c r="M61" s="147" t="s">
        <v>124</v>
      </c>
      <c r="N61" s="148" t="s">
        <v>125</v>
      </c>
      <c r="O61" s="263"/>
      <c r="R61" s="92"/>
      <c r="S61" s="98"/>
    </row>
    <row r="62" spans="1:19" ht="15.75" thickBot="1" x14ac:dyDescent="0.3">
      <c r="A62" s="121" t="s">
        <v>126</v>
      </c>
      <c r="B62" s="128">
        <v>0</v>
      </c>
      <c r="C62" s="129">
        <v>0</v>
      </c>
      <c r="D62" s="129">
        <v>0</v>
      </c>
      <c r="E62" s="149">
        <v>0</v>
      </c>
      <c r="F62" s="149">
        <v>13.7</v>
      </c>
      <c r="G62" s="120">
        <f>ROUND((SUM(B62:F62)),4)</f>
        <v>13.7</v>
      </c>
      <c r="H62" s="92"/>
      <c r="I62" s="127" t="s">
        <v>126</v>
      </c>
      <c r="J62" s="37">
        <f>(B62/$R$53)*100</f>
        <v>0</v>
      </c>
      <c r="K62" s="38">
        <f>(C62/$R$53)*100</f>
        <v>0</v>
      </c>
      <c r="L62" s="38">
        <f>(D62/$R$53)*100</f>
        <v>0</v>
      </c>
      <c r="M62" s="38">
        <f>(E62/$R$53)*100</f>
        <v>0</v>
      </c>
      <c r="N62" s="39">
        <f>(F62/$R$53)*100</f>
        <v>100</v>
      </c>
      <c r="O62" s="167">
        <f>ROUND(((SUM(J62:N62)/100)),0)</f>
        <v>1</v>
      </c>
      <c r="R62" s="92"/>
      <c r="S62" s="98"/>
    </row>
    <row r="63" spans="1:19" x14ac:dyDescent="0.25">
      <c r="A63" s="97"/>
      <c r="B63" s="130"/>
      <c r="C63" s="130"/>
      <c r="D63" s="130"/>
      <c r="E63" s="130"/>
      <c r="F63" s="13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8"/>
    </row>
    <row r="64" spans="1:19" x14ac:dyDescent="0.25">
      <c r="A64" s="97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8"/>
    </row>
    <row r="65" spans="1:19" x14ac:dyDescent="0.25">
      <c r="A65" s="97"/>
      <c r="B65" s="90"/>
      <c r="C65" s="90"/>
      <c r="D65" s="90"/>
      <c r="E65" s="90"/>
      <c r="F65" s="90"/>
      <c r="G65" s="90"/>
      <c r="H65" s="90"/>
      <c r="I65" s="131" t="s">
        <v>127</v>
      </c>
      <c r="J65" s="131"/>
      <c r="K65" s="90"/>
      <c r="L65" s="90"/>
      <c r="M65" s="90"/>
      <c r="N65" s="90"/>
      <c r="O65" s="90"/>
      <c r="P65" s="90"/>
      <c r="Q65" s="90"/>
      <c r="R65" s="90"/>
      <c r="S65" s="98"/>
    </row>
    <row r="66" spans="1:19" x14ac:dyDescent="0.25">
      <c r="A66" s="97"/>
      <c r="B66" s="90"/>
      <c r="C66" s="90"/>
      <c r="D66" s="90"/>
      <c r="E66" s="90"/>
      <c r="F66" s="90"/>
      <c r="G66" s="90"/>
      <c r="H66" s="90"/>
      <c r="I66" s="131" t="s">
        <v>128</v>
      </c>
      <c r="J66" s="131"/>
      <c r="K66" s="90"/>
      <c r="L66" s="90"/>
      <c r="M66" s="90"/>
      <c r="N66" s="90"/>
      <c r="O66" s="90"/>
      <c r="P66" s="90"/>
      <c r="Q66" s="90"/>
      <c r="R66" s="90"/>
      <c r="S66" s="98"/>
    </row>
    <row r="67" spans="1:19" x14ac:dyDescent="0.25">
      <c r="A67" s="97"/>
      <c r="B67" s="90"/>
      <c r="C67" s="90"/>
      <c r="D67" s="90"/>
      <c r="E67" s="90"/>
      <c r="F67" s="90"/>
      <c r="G67" s="90"/>
      <c r="H67" s="90"/>
      <c r="I67" s="131" t="s">
        <v>129</v>
      </c>
      <c r="J67" s="131"/>
      <c r="K67" s="90"/>
      <c r="L67" s="90"/>
      <c r="M67" s="90"/>
      <c r="N67" s="90"/>
      <c r="O67" s="90"/>
      <c r="P67" s="90"/>
      <c r="Q67" s="90"/>
      <c r="R67" s="90"/>
      <c r="S67" s="98"/>
    </row>
    <row r="68" spans="1:19" ht="15.75" thickBot="1" x14ac:dyDescent="0.3">
      <c r="A68" s="132"/>
      <c r="B68" s="93"/>
      <c r="C68" s="93"/>
      <c r="D68" s="93"/>
      <c r="E68" s="93"/>
      <c r="F68" s="93"/>
      <c r="G68" s="93"/>
      <c r="H68" s="93"/>
      <c r="I68" s="133" t="s">
        <v>130</v>
      </c>
      <c r="J68" s="133"/>
      <c r="K68" s="93"/>
      <c r="L68" s="93"/>
      <c r="M68" s="93"/>
      <c r="N68" s="93"/>
      <c r="O68" s="93"/>
      <c r="P68" s="93"/>
      <c r="Q68" s="93"/>
      <c r="R68" s="93"/>
      <c r="S68" s="134"/>
    </row>
  </sheetData>
  <sheetProtection algorithmName="SHA-512" hashValue="0RVL1Lv8jAFVQoVw6ONLSd1Omcxb74cDJe3pRMsczlAH3vyOhFly1DBjI7zGsY8HS1HdoQJGKTohekIT5aE9MQ==" saltValue="TNFSL5NK9TUNcsDTJ5E+UA==" spinCount="100000" sheet="1" selectLockedCells="1"/>
  <mergeCells count="45">
    <mergeCell ref="A1:C6"/>
    <mergeCell ref="D1:P6"/>
    <mergeCell ref="Q1:S2"/>
    <mergeCell ref="Q3:S4"/>
    <mergeCell ref="Q5:S5"/>
    <mergeCell ref="Q6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60:A61"/>
    <mergeCell ref="J59:O59"/>
    <mergeCell ref="B60:F60"/>
    <mergeCell ref="G60:G61"/>
    <mergeCell ref="I60:I61"/>
    <mergeCell ref="K60:N60"/>
    <mergeCell ref="O60:O61"/>
  </mergeCells>
  <conditionalFormatting sqref="G62">
    <cfRule type="cellIs" dxfId="102" priority="2" operator="notEqual">
      <formula>$R$53</formula>
    </cfRule>
  </conditionalFormatting>
  <conditionalFormatting sqref="O62">
    <cfRule type="cellIs" dxfId="101" priority="1" operator="notEqual">
      <formula>100%</formula>
    </cfRule>
  </conditionalFormatting>
  <pageMargins left="0.7" right="0.7" top="0.75" bottom="0.75" header="0.3" footer="0.3"/>
  <pageSetup paperSize="28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CEA1-BE10-47EE-97F9-A4D05D932560}">
  <dimension ref="A1:V68"/>
  <sheetViews>
    <sheetView showGridLines="0" zoomScale="70" zoomScaleNormal="70" workbookViewId="0">
      <selection activeCell="D10" sqref="D10:J10"/>
    </sheetView>
  </sheetViews>
  <sheetFormatPr baseColWidth="10" defaultColWidth="0" defaultRowHeight="15" customHeight="1" zeroHeight="1" x14ac:dyDescent="0.25"/>
  <cols>
    <col min="1" max="1" width="17.85546875" style="88" bestFit="1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2.5703125" style="88" bestFit="1" customWidth="1"/>
    <col min="19" max="20" width="11.42578125" style="88" customWidth="1"/>
    <col min="21" max="21" width="9.42578125" style="88" hidden="1" customWidth="1"/>
    <col min="22" max="22" width="0" style="88" hidden="1" customWidth="1"/>
    <col min="23" max="16384" width="11.42578125" style="88" hidden="1"/>
  </cols>
  <sheetData>
    <row r="1" spans="1:19" x14ac:dyDescent="0.25">
      <c r="A1" s="310"/>
      <c r="B1" s="311"/>
      <c r="C1" s="311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12"/>
      <c r="B2" s="313"/>
      <c r="C2" s="313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12"/>
      <c r="B3" s="313"/>
      <c r="C3" s="313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12"/>
      <c r="B4" s="313"/>
      <c r="C4" s="313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12"/>
      <c r="B5" s="313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12"/>
      <c r="B6" s="313"/>
      <c r="C6" s="313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03" t="s">
        <v>81</v>
      </c>
      <c r="B7" s="304"/>
      <c r="C7" s="304"/>
      <c r="D7" s="305" t="s">
        <v>162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03" t="s">
        <v>83</v>
      </c>
      <c r="B8" s="304"/>
      <c r="C8" s="304"/>
      <c r="D8" s="305" t="s">
        <v>163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165</v>
      </c>
      <c r="O8" s="308"/>
      <c r="P8" s="308"/>
      <c r="Q8" s="308"/>
      <c r="R8" s="308"/>
      <c r="S8" s="309"/>
    </row>
    <row r="9" spans="1:19" x14ac:dyDescent="0.25">
      <c r="A9" s="303" t="s">
        <v>85</v>
      </c>
      <c r="B9" s="304"/>
      <c r="C9" s="304"/>
      <c r="D9" s="305" t="s">
        <v>164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166</v>
      </c>
      <c r="O9" s="308"/>
      <c r="P9" s="308"/>
      <c r="Q9" s="308"/>
      <c r="R9" s="308"/>
      <c r="S9" s="309"/>
    </row>
    <row r="10" spans="1:19" x14ac:dyDescent="0.25">
      <c r="A10" s="303" t="s">
        <v>87</v>
      </c>
      <c r="B10" s="304"/>
      <c r="C10" s="304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167</v>
      </c>
      <c r="O10" s="308"/>
      <c r="P10" s="308"/>
      <c r="Q10" s="308"/>
      <c r="R10" s="308"/>
      <c r="S10" s="309"/>
    </row>
    <row r="11" spans="1:19" x14ac:dyDescent="0.25">
      <c r="A11" s="266" t="s">
        <v>89</v>
      </c>
      <c r="B11" s="267"/>
      <c r="C11" s="267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97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97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274" t="s">
        <v>91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98"/>
    </row>
    <row r="17" spans="1:19" ht="15.75" thickBot="1" x14ac:dyDescent="0.3">
      <c r="A17" s="277"/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9"/>
      <c r="S17" s="98"/>
    </row>
    <row r="18" spans="1:19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19" customFormat="1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</row>
    <row r="20" spans="1:19" customFormat="1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</row>
    <row r="21" spans="1:19" customFormat="1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</row>
    <row r="22" spans="1:19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19" x14ac:dyDescent="0.25">
      <c r="A23" s="4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19" x14ac:dyDescent="0.25">
      <c r="A24" s="4">
        <v>3</v>
      </c>
      <c r="B24" s="86"/>
      <c r="C24" s="87"/>
      <c r="D24" s="87"/>
      <c r="E24" s="103">
        <f t="shared" si="0"/>
        <v>0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0</v>
      </c>
      <c r="S24" s="98"/>
    </row>
    <row r="25" spans="1:19" x14ac:dyDescent="0.25">
      <c r="A25" s="4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19" x14ac:dyDescent="0.25">
      <c r="A26" s="4">
        <v>5</v>
      </c>
      <c r="B26" s="86"/>
      <c r="C26" s="87"/>
      <c r="D26" s="87">
        <v>9</v>
      </c>
      <c r="E26" s="103">
        <f t="shared" si="0"/>
        <v>9</v>
      </c>
      <c r="F26" s="86">
        <v>0.45</v>
      </c>
      <c r="G26" s="87"/>
      <c r="H26" s="87"/>
      <c r="I26" s="87"/>
      <c r="J26" s="103">
        <f t="shared" si="1"/>
        <v>0.45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0.45</v>
      </c>
      <c r="R26" s="91">
        <f t="shared" si="4"/>
        <v>9.4499999999999993</v>
      </c>
      <c r="S26" s="98"/>
    </row>
    <row r="27" spans="1:19" x14ac:dyDescent="0.25">
      <c r="A27" s="4">
        <v>6</v>
      </c>
      <c r="B27" s="86"/>
      <c r="C27" s="87"/>
      <c r="D27" s="87"/>
      <c r="E27" s="103">
        <f t="shared" si="0"/>
        <v>0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0</v>
      </c>
      <c r="S27" s="98"/>
    </row>
    <row r="28" spans="1:19" x14ac:dyDescent="0.25">
      <c r="A28" s="4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19" x14ac:dyDescent="0.25">
      <c r="A29" s="4">
        <v>8</v>
      </c>
      <c r="B29" s="86"/>
      <c r="C29" s="87"/>
      <c r="D29" s="87"/>
      <c r="E29" s="103">
        <f t="shared" si="0"/>
        <v>0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0</v>
      </c>
      <c r="S29" s="98"/>
    </row>
    <row r="30" spans="1:19" x14ac:dyDescent="0.25">
      <c r="A30" s="4">
        <v>9</v>
      </c>
      <c r="B30" s="86"/>
      <c r="C30" s="87"/>
      <c r="D30" s="87"/>
      <c r="E30" s="103">
        <f t="shared" si="0"/>
        <v>0</v>
      </c>
      <c r="F30" s="86"/>
      <c r="G30" s="87"/>
      <c r="H30" s="87"/>
      <c r="I30" s="87"/>
      <c r="J30" s="103">
        <f t="shared" si="1"/>
        <v>0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</v>
      </c>
      <c r="R30" s="91">
        <f t="shared" si="4"/>
        <v>0</v>
      </c>
      <c r="S30" s="98"/>
    </row>
    <row r="31" spans="1:19" x14ac:dyDescent="0.25">
      <c r="A31" s="4">
        <v>10</v>
      </c>
      <c r="B31" s="86"/>
      <c r="C31" s="87"/>
      <c r="D31" s="87"/>
      <c r="E31" s="103">
        <f t="shared" si="0"/>
        <v>0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0</v>
      </c>
      <c r="S31" s="98"/>
    </row>
    <row r="32" spans="1:19" x14ac:dyDescent="0.25">
      <c r="A32" s="4">
        <v>11</v>
      </c>
      <c r="B32" s="86"/>
      <c r="C32" s="87"/>
      <c r="D32" s="87"/>
      <c r="E32" s="103">
        <f t="shared" si="0"/>
        <v>0</v>
      </c>
      <c r="F32" s="86"/>
      <c r="G32" s="87"/>
      <c r="H32" s="87"/>
      <c r="I32" s="87"/>
      <c r="J32" s="103">
        <f t="shared" si="1"/>
        <v>0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</v>
      </c>
      <c r="R32" s="91">
        <f t="shared" si="4"/>
        <v>0</v>
      </c>
      <c r="S32" s="98"/>
    </row>
    <row r="33" spans="1:19" x14ac:dyDescent="0.25">
      <c r="A33" s="4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4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4">
        <v>14</v>
      </c>
      <c r="B35" s="86"/>
      <c r="C35" s="87"/>
      <c r="D35" s="87"/>
      <c r="E35" s="103">
        <f t="shared" si="0"/>
        <v>0</v>
      </c>
      <c r="F35" s="86"/>
      <c r="G35" s="87"/>
      <c r="H35" s="87"/>
      <c r="I35" s="87"/>
      <c r="J35" s="103">
        <f t="shared" si="1"/>
        <v>0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0</v>
      </c>
      <c r="R35" s="91">
        <f t="shared" si="4"/>
        <v>0</v>
      </c>
      <c r="S35" s="98"/>
    </row>
    <row r="36" spans="1:19" x14ac:dyDescent="0.25">
      <c r="A36" s="4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4">
        <v>16</v>
      </c>
      <c r="B37" s="86"/>
      <c r="C37" s="87"/>
      <c r="D37" s="87"/>
      <c r="E37" s="103">
        <f t="shared" si="0"/>
        <v>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0</v>
      </c>
      <c r="S37" s="98"/>
    </row>
    <row r="38" spans="1:19" x14ac:dyDescent="0.25">
      <c r="A38" s="4">
        <v>17</v>
      </c>
      <c r="B38" s="86"/>
      <c r="C38" s="87"/>
      <c r="D38" s="87"/>
      <c r="E38" s="103">
        <f t="shared" si="0"/>
        <v>0</v>
      </c>
      <c r="F38" s="86"/>
      <c r="G38" s="87"/>
      <c r="H38" s="87"/>
      <c r="I38" s="87"/>
      <c r="J38" s="103">
        <f t="shared" si="1"/>
        <v>0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0</v>
      </c>
      <c r="R38" s="91">
        <f t="shared" si="4"/>
        <v>0</v>
      </c>
      <c r="S38" s="98"/>
    </row>
    <row r="39" spans="1:19" x14ac:dyDescent="0.25">
      <c r="A39" s="4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4">
        <v>19</v>
      </c>
      <c r="B40" s="86"/>
      <c r="C40" s="87"/>
      <c r="D40" s="87">
        <v>11</v>
      </c>
      <c r="E40" s="103">
        <f t="shared" si="0"/>
        <v>11</v>
      </c>
      <c r="F40" s="86"/>
      <c r="G40" s="87"/>
      <c r="H40" s="87">
        <v>0.4</v>
      </c>
      <c r="I40" s="87"/>
      <c r="J40" s="103">
        <f t="shared" si="1"/>
        <v>0.4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0.4</v>
      </c>
      <c r="R40" s="91">
        <f t="shared" si="4"/>
        <v>11.4</v>
      </c>
      <c r="S40" s="98"/>
    </row>
    <row r="41" spans="1:19" x14ac:dyDescent="0.25">
      <c r="A41" s="4">
        <v>20</v>
      </c>
      <c r="B41" s="86"/>
      <c r="C41" s="87"/>
      <c r="D41" s="87"/>
      <c r="E41" s="103">
        <f t="shared" si="0"/>
        <v>0</v>
      </c>
      <c r="F41" s="86"/>
      <c r="G41" s="87"/>
      <c r="H41" s="87"/>
      <c r="I41" s="87"/>
      <c r="J41" s="103">
        <f t="shared" si="1"/>
        <v>0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0</v>
      </c>
      <c r="R41" s="91">
        <f t="shared" si="4"/>
        <v>0</v>
      </c>
      <c r="S41" s="98"/>
    </row>
    <row r="42" spans="1:19" x14ac:dyDescent="0.25">
      <c r="A42" s="4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4">
        <v>22</v>
      </c>
      <c r="B43" s="86"/>
      <c r="C43" s="87"/>
      <c r="D43" s="87"/>
      <c r="E43" s="103">
        <f t="shared" si="0"/>
        <v>0</v>
      </c>
      <c r="F43" s="86"/>
      <c r="G43" s="87"/>
      <c r="H43" s="87"/>
      <c r="I43" s="87"/>
      <c r="J43" s="103">
        <f t="shared" si="1"/>
        <v>0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</v>
      </c>
      <c r="R43" s="91">
        <f t="shared" si="4"/>
        <v>0</v>
      </c>
      <c r="S43" s="98"/>
    </row>
    <row r="44" spans="1:19" x14ac:dyDescent="0.25">
      <c r="A44" s="4">
        <v>23</v>
      </c>
      <c r="B44" s="86"/>
      <c r="C44" s="87"/>
      <c r="D44" s="87"/>
      <c r="E44" s="103">
        <f t="shared" si="0"/>
        <v>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0</v>
      </c>
      <c r="S44" s="98"/>
    </row>
    <row r="45" spans="1:19" x14ac:dyDescent="0.25">
      <c r="A45" s="4">
        <v>24</v>
      </c>
      <c r="B45" s="86"/>
      <c r="C45" s="87"/>
      <c r="D45" s="87"/>
      <c r="E45" s="103">
        <f t="shared" si="0"/>
        <v>0</v>
      </c>
      <c r="F45" s="86"/>
      <c r="G45" s="87"/>
      <c r="H45" s="87"/>
      <c r="I45" s="87"/>
      <c r="J45" s="103">
        <f t="shared" si="1"/>
        <v>0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0</v>
      </c>
      <c r="R45" s="91">
        <f t="shared" si="4"/>
        <v>0</v>
      </c>
      <c r="S45" s="98"/>
    </row>
    <row r="46" spans="1:19" x14ac:dyDescent="0.25">
      <c r="A46" s="4">
        <v>25</v>
      </c>
      <c r="B46" s="86"/>
      <c r="C46" s="87"/>
      <c r="D46" s="87"/>
      <c r="E46" s="103">
        <f t="shared" si="0"/>
        <v>0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0</v>
      </c>
      <c r="S46" s="98"/>
    </row>
    <row r="47" spans="1:19" x14ac:dyDescent="0.25">
      <c r="A47" s="4">
        <v>26</v>
      </c>
      <c r="B47" s="86"/>
      <c r="C47" s="87"/>
      <c r="D47" s="87"/>
      <c r="E47" s="103">
        <f t="shared" si="0"/>
        <v>0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0</v>
      </c>
      <c r="S47" s="98"/>
    </row>
    <row r="48" spans="1:19" x14ac:dyDescent="0.25">
      <c r="A48" s="4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4">
        <v>28</v>
      </c>
      <c r="B49" s="86"/>
      <c r="C49" s="87"/>
      <c r="D49" s="87"/>
      <c r="E49" s="103">
        <f t="shared" si="0"/>
        <v>0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0</v>
      </c>
      <c r="S49" s="98"/>
    </row>
    <row r="50" spans="1:19" x14ac:dyDescent="0.25">
      <c r="A50" s="4"/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4"/>
      <c r="B51" s="86"/>
      <c r="C51" s="87"/>
      <c r="D51" s="87"/>
      <c r="E51" s="103">
        <f t="shared" si="0"/>
        <v>0</v>
      </c>
      <c r="F51" s="86"/>
      <c r="G51" s="87"/>
      <c r="H51" s="87"/>
      <c r="I51" s="87"/>
      <c r="J51" s="103">
        <f t="shared" si="1"/>
        <v>0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0</v>
      </c>
      <c r="R51" s="91">
        <f t="shared" si="4"/>
        <v>0</v>
      </c>
      <c r="S51" s="98"/>
    </row>
    <row r="52" spans="1:19" ht="15.75" thickBot="1" x14ac:dyDescent="0.3">
      <c r="A52" s="5"/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s="177" customFormat="1" ht="15.75" thickBot="1" x14ac:dyDescent="0.3">
      <c r="A53" s="176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20</v>
      </c>
      <c r="E53" s="170">
        <f>+SUM(E22:E52)</f>
        <v>20</v>
      </c>
      <c r="F53" s="168">
        <f t="shared" ref="F53:O53" si="6">+SUM(F22:F52)</f>
        <v>0.45</v>
      </c>
      <c r="G53" s="169">
        <f t="shared" si="6"/>
        <v>0</v>
      </c>
      <c r="H53" s="169">
        <f t="shared" si="6"/>
        <v>0.4</v>
      </c>
      <c r="I53" s="169">
        <f t="shared" si="6"/>
        <v>0</v>
      </c>
      <c r="J53" s="170">
        <f>+SUM(J22:J52)</f>
        <v>0.85000000000000009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>+SUM(P22:P52)</f>
        <v>0</v>
      </c>
      <c r="Q53" s="173">
        <f>+SUM(Q22:Q52)</f>
        <v>0.85000000000000009</v>
      </c>
      <c r="R53" s="174">
        <f>+SUM(R22:R52)</f>
        <v>20.85</v>
      </c>
      <c r="S53" s="175">
        <f>+E53+Q53</f>
        <v>20.85</v>
      </c>
    </row>
    <row r="54" spans="1:19" x14ac:dyDescent="0.25">
      <c r="A54" s="9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9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264" t="s">
        <v>111</v>
      </c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R56" s="90"/>
      <c r="S56" s="98"/>
    </row>
    <row r="57" spans="1:19" x14ac:dyDescent="0.25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R57" s="90"/>
      <c r="S57" s="98"/>
    </row>
    <row r="58" spans="1:19" ht="15.75" thickBot="1" x14ac:dyDescent="0.3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250">
        <v>33</v>
      </c>
      <c r="K59" s="251"/>
      <c r="L59" s="251"/>
      <c r="M59" s="251"/>
      <c r="N59" s="251"/>
      <c r="O59" s="252"/>
      <c r="R59" s="166"/>
      <c r="S59" s="142"/>
    </row>
    <row r="60" spans="1:19" ht="15.75" thickBot="1" x14ac:dyDescent="0.3">
      <c r="A60" s="248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257" t="s">
        <v>112</v>
      </c>
      <c r="J60" s="107"/>
      <c r="K60" s="259" t="s">
        <v>114</v>
      </c>
      <c r="L60" s="260"/>
      <c r="M60" s="260"/>
      <c r="N60" s="261"/>
      <c r="O60" s="262" t="s">
        <v>115</v>
      </c>
      <c r="R60" s="92"/>
      <c r="S60" s="98"/>
    </row>
    <row r="61" spans="1:19" ht="60.75" thickBot="1" x14ac:dyDescent="0.3">
      <c r="A61" s="336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337"/>
      <c r="J61" s="182" t="s">
        <v>121</v>
      </c>
      <c r="K61" s="112" t="s">
        <v>122</v>
      </c>
      <c r="L61" s="110" t="s">
        <v>123</v>
      </c>
      <c r="M61" s="110" t="s">
        <v>124</v>
      </c>
      <c r="N61" s="111" t="s">
        <v>125</v>
      </c>
      <c r="O61" s="338"/>
      <c r="R61" s="92"/>
      <c r="S61" s="98"/>
    </row>
    <row r="62" spans="1:19" ht="15.75" thickBot="1" x14ac:dyDescent="0.3">
      <c r="A62" s="113" t="s">
        <v>126</v>
      </c>
      <c r="B62" s="157">
        <f>+Enero!B62</f>
        <v>0</v>
      </c>
      <c r="C62" s="115">
        <f>+Enero!C62</f>
        <v>0</v>
      </c>
      <c r="D62" s="115">
        <f>+Enero!D62</f>
        <v>0</v>
      </c>
      <c r="E62" s="115">
        <f>+Enero!E62</f>
        <v>0</v>
      </c>
      <c r="F62" s="225">
        <f>+Enero!F62</f>
        <v>13.7</v>
      </c>
      <c r="G62" s="158">
        <f>SUM(B62:F62)</f>
        <v>13.7</v>
      </c>
      <c r="H62" s="92"/>
      <c r="I62" s="180" t="s">
        <v>126</v>
      </c>
      <c r="J62" s="49">
        <f>+Enero!J62</f>
        <v>0</v>
      </c>
      <c r="K62" s="50">
        <f>+Enero!K62</f>
        <v>0</v>
      </c>
      <c r="L62" s="50">
        <f>+Enero!L62</f>
        <v>0</v>
      </c>
      <c r="M62" s="50">
        <f>+Enero!M62</f>
        <v>0</v>
      </c>
      <c r="N62" s="50">
        <f>+Enero!N62</f>
        <v>100</v>
      </c>
      <c r="O62" s="184">
        <f>SUM(J62:N62)/100</f>
        <v>1</v>
      </c>
      <c r="R62" s="92"/>
      <c r="S62" s="98"/>
    </row>
    <row r="63" spans="1:19" ht="15.75" thickBot="1" x14ac:dyDescent="0.3">
      <c r="A63" s="127" t="s">
        <v>131</v>
      </c>
      <c r="B63" s="128">
        <v>0</v>
      </c>
      <c r="C63" s="129">
        <v>0</v>
      </c>
      <c r="D63" s="129">
        <v>0</v>
      </c>
      <c r="E63" s="129">
        <v>0</v>
      </c>
      <c r="F63" s="159">
        <v>20.85</v>
      </c>
      <c r="G63" s="160">
        <f>+SUM(B63:F63)</f>
        <v>20.85</v>
      </c>
      <c r="H63" s="90"/>
      <c r="I63" s="119" t="s">
        <v>131</v>
      </c>
      <c r="J63" s="72">
        <f>(B63/$R$53)*100</f>
        <v>0</v>
      </c>
      <c r="K63" s="38">
        <f>(C63/$R$53)*100</f>
        <v>0</v>
      </c>
      <c r="L63" s="38">
        <f>(D63/$R$53)*100</f>
        <v>0</v>
      </c>
      <c r="M63" s="38">
        <f>(E63/$R$53)*100</f>
        <v>0</v>
      </c>
      <c r="N63" s="38">
        <f>(F63/$R$53)*100</f>
        <v>100</v>
      </c>
      <c r="O63" s="183">
        <f>SUM(J63:N63)/100</f>
        <v>1</v>
      </c>
      <c r="P63" s="90"/>
      <c r="Q63" s="90"/>
      <c r="R63" s="90"/>
      <c r="S63" s="98"/>
    </row>
    <row r="64" spans="1:19" x14ac:dyDescent="0.25">
      <c r="A64" s="97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8"/>
    </row>
    <row r="65" spans="1:19" x14ac:dyDescent="0.25">
      <c r="A65" s="97"/>
      <c r="B65" s="90"/>
      <c r="C65" s="90"/>
      <c r="D65" s="90"/>
      <c r="E65" s="90"/>
      <c r="F65" s="90"/>
      <c r="G65" s="90"/>
      <c r="H65" s="90"/>
      <c r="I65" s="131" t="s">
        <v>127</v>
      </c>
      <c r="J65" s="131"/>
      <c r="K65" s="90"/>
      <c r="L65" s="90"/>
      <c r="M65" s="90"/>
      <c r="N65" s="90"/>
      <c r="O65" s="90"/>
      <c r="P65" s="90"/>
      <c r="Q65" s="90"/>
      <c r="R65" s="90"/>
      <c r="S65" s="98"/>
    </row>
    <row r="66" spans="1:19" x14ac:dyDescent="0.25">
      <c r="A66" s="97"/>
      <c r="B66" s="90"/>
      <c r="C66" s="90"/>
      <c r="D66" s="90"/>
      <c r="E66" s="90"/>
      <c r="F66" s="90"/>
      <c r="G66" s="90"/>
      <c r="H66" s="90"/>
      <c r="I66" s="131" t="s">
        <v>128</v>
      </c>
      <c r="J66" s="131"/>
      <c r="K66" s="90"/>
      <c r="L66" s="90"/>
      <c r="M66" s="90"/>
      <c r="N66" s="90"/>
      <c r="O66" s="90"/>
      <c r="P66" s="90"/>
      <c r="Q66" s="90"/>
      <c r="R66" s="90"/>
      <c r="S66" s="98"/>
    </row>
    <row r="67" spans="1:19" x14ac:dyDescent="0.25">
      <c r="A67" s="97"/>
      <c r="B67" s="90"/>
      <c r="C67" s="90"/>
      <c r="D67" s="90"/>
      <c r="E67" s="90"/>
      <c r="F67" s="90"/>
      <c r="G67" s="90"/>
      <c r="H67" s="90"/>
      <c r="I67" s="131" t="s">
        <v>129</v>
      </c>
      <c r="J67" s="131"/>
      <c r="K67" s="90"/>
      <c r="L67" s="90"/>
      <c r="M67" s="90"/>
      <c r="N67" s="90"/>
      <c r="O67" s="90"/>
      <c r="P67" s="90"/>
      <c r="Q67" s="90"/>
      <c r="R67" s="90"/>
      <c r="S67" s="98"/>
    </row>
    <row r="68" spans="1:19" ht="15.75" thickBot="1" x14ac:dyDescent="0.3">
      <c r="A68" s="132"/>
      <c r="B68" s="93"/>
      <c r="C68" s="93"/>
      <c r="D68" s="93"/>
      <c r="E68" s="93"/>
      <c r="F68" s="93"/>
      <c r="G68" s="93"/>
      <c r="H68" s="93"/>
      <c r="I68" s="133" t="s">
        <v>130</v>
      </c>
      <c r="J68" s="133"/>
      <c r="K68" s="93"/>
      <c r="L68" s="93"/>
      <c r="M68" s="93"/>
      <c r="N68" s="93"/>
      <c r="O68" s="93"/>
      <c r="P68" s="93"/>
      <c r="Q68" s="93"/>
      <c r="R68" s="93"/>
      <c r="S68" s="134"/>
    </row>
  </sheetData>
  <sheetProtection algorithmName="SHA-512" hashValue="TM3xGbeQMLjIbWdz1YSgHnyFTbWOx/kvxo/o1jw7+1LSce8GXx22F25KImxJq5oLeas6/9lMUAoo9Xvif1DWTQ==" saltValue="RjECVTqoIqNMnO0A8W3Ldg==" spinCount="100000" sheet="1" selectLockedCells="1"/>
  <mergeCells count="45">
    <mergeCell ref="J59:O59"/>
    <mergeCell ref="A60:A61"/>
    <mergeCell ref="B60:F60"/>
    <mergeCell ref="G60:G61"/>
    <mergeCell ref="I60:I61"/>
    <mergeCell ref="K60:N60"/>
    <mergeCell ref="O60:O61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63">
    <cfRule type="cellIs" dxfId="99" priority="5" operator="notEqual">
      <formula>$R$53</formula>
    </cfRule>
  </conditionalFormatting>
  <conditionalFormatting sqref="O62:O63">
    <cfRule type="cellIs" dxfId="98" priority="2" operator="notEqual">
      <formula>100%</formula>
    </cfRule>
  </conditionalFormatting>
  <pageMargins left="0.7" right="0.7" top="0.75" bottom="0.75" header="0.3" footer="0.3"/>
  <pageSetup paperSize="2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964109C3-0DEB-4205-8A42-20EBFA910153}">
            <xm:f>Enero!R53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9B76-50CC-4AD2-9264-66BB659C85AA}">
  <dimension ref="A1:V69"/>
  <sheetViews>
    <sheetView showGridLines="0" topLeftCell="A2" zoomScale="70" zoomScaleNormal="70" workbookViewId="0">
      <selection activeCell="D10" sqref="D10:J10"/>
    </sheetView>
  </sheetViews>
  <sheetFormatPr baseColWidth="10" defaultColWidth="0" defaultRowHeight="15" customHeight="1" zeroHeight="1" x14ac:dyDescent="0.25"/>
  <cols>
    <col min="1" max="1" width="17.85546875" style="88" bestFit="1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2.85546875" style="88" bestFit="1" customWidth="1"/>
    <col min="19" max="19" width="11.42578125" style="88" customWidth="1"/>
    <col min="20" max="20" width="11.42578125" customWidth="1"/>
    <col min="21" max="21" width="9.42578125" hidden="1" customWidth="1"/>
    <col min="22" max="22" width="0" hidden="1" customWidth="1"/>
    <col min="23" max="16384" width="11.42578125" hidden="1"/>
  </cols>
  <sheetData>
    <row r="1" spans="1:19" x14ac:dyDescent="0.25">
      <c r="A1" s="310"/>
      <c r="B1" s="311"/>
      <c r="C1" s="311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12"/>
      <c r="B2" s="313"/>
      <c r="C2" s="313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12"/>
      <c r="B3" s="313"/>
      <c r="C3" s="313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12"/>
      <c r="B4" s="313"/>
      <c r="C4" s="313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12"/>
      <c r="B5" s="313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12"/>
      <c r="B6" s="313"/>
      <c r="C6" s="313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03" t="s">
        <v>81</v>
      </c>
      <c r="B7" s="304"/>
      <c r="C7" s="304"/>
      <c r="D7" s="305" t="s">
        <v>168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03" t="s">
        <v>83</v>
      </c>
      <c r="B8" s="304"/>
      <c r="C8" s="304"/>
      <c r="D8" s="305" t="s">
        <v>163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169</v>
      </c>
      <c r="O8" s="308"/>
      <c r="P8" s="308"/>
      <c r="Q8" s="308"/>
      <c r="R8" s="308"/>
      <c r="S8" s="309"/>
    </row>
    <row r="9" spans="1:19" x14ac:dyDescent="0.25">
      <c r="A9" s="303" t="s">
        <v>85</v>
      </c>
      <c r="B9" s="304"/>
      <c r="C9" s="304"/>
      <c r="D9" s="305" t="s">
        <v>164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161</v>
      </c>
      <c r="O9" s="308"/>
      <c r="P9" s="308"/>
      <c r="Q9" s="308"/>
      <c r="R9" s="308"/>
      <c r="S9" s="309"/>
    </row>
    <row r="10" spans="1:19" x14ac:dyDescent="0.25">
      <c r="A10" s="303" t="s">
        <v>87</v>
      </c>
      <c r="B10" s="304"/>
      <c r="C10" s="304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170</v>
      </c>
      <c r="O10" s="308"/>
      <c r="P10" s="308"/>
      <c r="Q10" s="308"/>
      <c r="R10" s="308"/>
      <c r="S10" s="309"/>
    </row>
    <row r="11" spans="1:19" x14ac:dyDescent="0.25">
      <c r="A11" s="266" t="s">
        <v>89</v>
      </c>
      <c r="B11" s="267"/>
      <c r="C11" s="267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97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97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274" t="s">
        <v>91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98"/>
    </row>
    <row r="17" spans="1:19" ht="15.75" thickBot="1" x14ac:dyDescent="0.3">
      <c r="A17" s="277"/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9"/>
      <c r="S17" s="98"/>
    </row>
    <row r="18" spans="1:19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19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</row>
    <row r="20" spans="1:19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</row>
    <row r="21" spans="1:19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</row>
    <row r="22" spans="1:19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19" x14ac:dyDescent="0.25">
      <c r="A23" s="4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19" x14ac:dyDescent="0.25">
      <c r="A24" s="4">
        <v>3</v>
      </c>
      <c r="B24" s="86"/>
      <c r="C24" s="87"/>
      <c r="D24" s="87"/>
      <c r="E24" s="103">
        <f t="shared" si="0"/>
        <v>0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0</v>
      </c>
      <c r="S24" s="98"/>
    </row>
    <row r="25" spans="1:19" x14ac:dyDescent="0.25">
      <c r="A25" s="4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19" x14ac:dyDescent="0.25">
      <c r="A26" s="4">
        <v>5</v>
      </c>
      <c r="B26" s="86"/>
      <c r="C26" s="87"/>
      <c r="D26" s="87">
        <v>11.2</v>
      </c>
      <c r="E26" s="103">
        <f t="shared" si="0"/>
        <v>11.2</v>
      </c>
      <c r="F26" s="86"/>
      <c r="G26" s="87"/>
      <c r="H26" s="87">
        <v>0.7</v>
      </c>
      <c r="I26" s="87"/>
      <c r="J26" s="103">
        <f t="shared" si="1"/>
        <v>0.7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0.7</v>
      </c>
      <c r="R26" s="91">
        <f t="shared" si="4"/>
        <v>11.899999999999999</v>
      </c>
      <c r="S26" s="98"/>
    </row>
    <row r="27" spans="1:19" x14ac:dyDescent="0.25">
      <c r="A27" s="4">
        <v>6</v>
      </c>
      <c r="B27" s="86"/>
      <c r="C27" s="87"/>
      <c r="D27" s="87"/>
      <c r="E27" s="103">
        <f t="shared" si="0"/>
        <v>0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0</v>
      </c>
      <c r="S27" s="98"/>
    </row>
    <row r="28" spans="1:19" x14ac:dyDescent="0.25">
      <c r="A28" s="4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19" x14ac:dyDescent="0.25">
      <c r="A29" s="4">
        <v>8</v>
      </c>
      <c r="B29" s="86"/>
      <c r="C29" s="87"/>
      <c r="D29" s="87"/>
      <c r="E29" s="103">
        <f t="shared" si="0"/>
        <v>0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0</v>
      </c>
      <c r="S29" s="98"/>
    </row>
    <row r="30" spans="1:19" x14ac:dyDescent="0.25">
      <c r="A30" s="4">
        <v>9</v>
      </c>
      <c r="B30" s="86"/>
      <c r="C30" s="87"/>
      <c r="D30" s="87"/>
      <c r="E30" s="103">
        <f t="shared" si="0"/>
        <v>0</v>
      </c>
      <c r="F30" s="86"/>
      <c r="G30" s="87"/>
      <c r="H30" s="87"/>
      <c r="I30" s="87"/>
      <c r="J30" s="103">
        <f t="shared" si="1"/>
        <v>0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</v>
      </c>
      <c r="R30" s="91">
        <f t="shared" si="4"/>
        <v>0</v>
      </c>
      <c r="S30" s="98"/>
    </row>
    <row r="31" spans="1:19" x14ac:dyDescent="0.25">
      <c r="A31" s="4">
        <v>10</v>
      </c>
      <c r="B31" s="86"/>
      <c r="C31" s="87"/>
      <c r="D31" s="87"/>
      <c r="E31" s="103">
        <f t="shared" si="0"/>
        <v>0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0</v>
      </c>
      <c r="S31" s="98"/>
    </row>
    <row r="32" spans="1:19" x14ac:dyDescent="0.25">
      <c r="A32" s="4">
        <v>11</v>
      </c>
      <c r="B32" s="86"/>
      <c r="C32" s="87"/>
      <c r="D32" s="87"/>
      <c r="E32" s="103">
        <f t="shared" si="0"/>
        <v>0</v>
      </c>
      <c r="F32" s="86"/>
      <c r="G32" s="87"/>
      <c r="H32" s="87"/>
      <c r="I32" s="87"/>
      <c r="J32" s="103">
        <f t="shared" si="1"/>
        <v>0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</v>
      </c>
      <c r="R32" s="91">
        <f t="shared" si="4"/>
        <v>0</v>
      </c>
      <c r="S32" s="98"/>
    </row>
    <row r="33" spans="1:19" x14ac:dyDescent="0.25">
      <c r="A33" s="4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4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4">
        <v>14</v>
      </c>
      <c r="B35" s="86"/>
      <c r="C35" s="87"/>
      <c r="D35" s="87"/>
      <c r="E35" s="103">
        <f t="shared" si="0"/>
        <v>0</v>
      </c>
      <c r="F35" s="86"/>
      <c r="G35" s="87"/>
      <c r="H35" s="87"/>
      <c r="I35" s="87"/>
      <c r="J35" s="103">
        <f t="shared" si="1"/>
        <v>0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0</v>
      </c>
      <c r="R35" s="91">
        <f t="shared" si="4"/>
        <v>0</v>
      </c>
      <c r="S35" s="98"/>
    </row>
    <row r="36" spans="1:19" x14ac:dyDescent="0.25">
      <c r="A36" s="4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4">
        <v>16</v>
      </c>
      <c r="B37" s="86"/>
      <c r="C37" s="87"/>
      <c r="D37" s="87"/>
      <c r="E37" s="103">
        <f t="shared" si="0"/>
        <v>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0</v>
      </c>
      <c r="S37" s="98"/>
    </row>
    <row r="38" spans="1:19" x14ac:dyDescent="0.25">
      <c r="A38" s="4">
        <v>17</v>
      </c>
      <c r="B38" s="86"/>
      <c r="C38" s="87"/>
      <c r="D38" s="87"/>
      <c r="E38" s="103">
        <f t="shared" si="0"/>
        <v>0</v>
      </c>
      <c r="F38" s="86"/>
      <c r="G38" s="87"/>
      <c r="H38" s="87"/>
      <c r="I38" s="87"/>
      <c r="J38" s="103">
        <f t="shared" si="1"/>
        <v>0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0</v>
      </c>
      <c r="R38" s="91">
        <f t="shared" si="4"/>
        <v>0</v>
      </c>
      <c r="S38" s="98"/>
    </row>
    <row r="39" spans="1:19" x14ac:dyDescent="0.25">
      <c r="A39" s="4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4">
        <v>19</v>
      </c>
      <c r="B40" s="86"/>
      <c r="C40" s="87"/>
      <c r="D40" s="87">
        <v>10</v>
      </c>
      <c r="E40" s="103">
        <f t="shared" si="0"/>
        <v>10</v>
      </c>
      <c r="F40" s="86"/>
      <c r="G40" s="87"/>
      <c r="H40" s="87"/>
      <c r="I40" s="87"/>
      <c r="J40" s="103">
        <f t="shared" si="1"/>
        <v>0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</v>
      </c>
      <c r="R40" s="91">
        <f t="shared" si="4"/>
        <v>10</v>
      </c>
      <c r="S40" s="98"/>
    </row>
    <row r="41" spans="1:19" x14ac:dyDescent="0.25">
      <c r="A41" s="4">
        <v>20</v>
      </c>
      <c r="B41" s="86"/>
      <c r="C41" s="87"/>
      <c r="D41" s="87"/>
      <c r="E41" s="103">
        <f t="shared" si="0"/>
        <v>0</v>
      </c>
      <c r="F41" s="86"/>
      <c r="G41" s="87"/>
      <c r="H41" s="87"/>
      <c r="I41" s="87"/>
      <c r="J41" s="103">
        <f t="shared" si="1"/>
        <v>0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0</v>
      </c>
      <c r="R41" s="91">
        <f t="shared" si="4"/>
        <v>0</v>
      </c>
      <c r="S41" s="98"/>
    </row>
    <row r="42" spans="1:19" x14ac:dyDescent="0.25">
      <c r="A42" s="4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4">
        <v>22</v>
      </c>
      <c r="B43" s="86"/>
      <c r="C43" s="87"/>
      <c r="D43" s="87"/>
      <c r="E43" s="103">
        <f t="shared" si="0"/>
        <v>0</v>
      </c>
      <c r="F43" s="86"/>
      <c r="G43" s="87"/>
      <c r="H43" s="87"/>
      <c r="I43" s="87"/>
      <c r="J43" s="103">
        <f t="shared" si="1"/>
        <v>0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</v>
      </c>
      <c r="R43" s="91">
        <f t="shared" si="4"/>
        <v>0</v>
      </c>
      <c r="S43" s="98"/>
    </row>
    <row r="44" spans="1:19" x14ac:dyDescent="0.25">
      <c r="A44" s="4">
        <v>23</v>
      </c>
      <c r="B44" s="86"/>
      <c r="C44" s="87"/>
      <c r="D44" s="87"/>
      <c r="E44" s="103">
        <f t="shared" si="0"/>
        <v>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0</v>
      </c>
      <c r="S44" s="98"/>
    </row>
    <row r="45" spans="1:19" x14ac:dyDescent="0.25">
      <c r="A45" s="4">
        <v>24</v>
      </c>
      <c r="B45" s="86"/>
      <c r="C45" s="87"/>
      <c r="D45" s="87"/>
      <c r="E45" s="103">
        <f t="shared" si="0"/>
        <v>0</v>
      </c>
      <c r="F45" s="86"/>
      <c r="G45" s="87"/>
      <c r="H45" s="87"/>
      <c r="I45" s="87"/>
      <c r="J45" s="103">
        <f t="shared" si="1"/>
        <v>0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0</v>
      </c>
      <c r="R45" s="91">
        <f t="shared" si="4"/>
        <v>0</v>
      </c>
      <c r="S45" s="98"/>
    </row>
    <row r="46" spans="1:19" x14ac:dyDescent="0.25">
      <c r="A46" s="4">
        <v>25</v>
      </c>
      <c r="B46" s="86"/>
      <c r="C46" s="87"/>
      <c r="D46" s="87"/>
      <c r="E46" s="103">
        <f t="shared" si="0"/>
        <v>0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0</v>
      </c>
      <c r="S46" s="98"/>
    </row>
    <row r="47" spans="1:19" x14ac:dyDescent="0.25">
      <c r="A47" s="4">
        <v>26</v>
      </c>
      <c r="B47" s="86"/>
      <c r="C47" s="87"/>
      <c r="D47" s="87"/>
      <c r="E47" s="103">
        <f t="shared" si="0"/>
        <v>0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0</v>
      </c>
      <c r="S47" s="98"/>
    </row>
    <row r="48" spans="1:19" x14ac:dyDescent="0.25">
      <c r="A48" s="4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4">
        <v>28</v>
      </c>
      <c r="B49" s="86"/>
      <c r="C49" s="87"/>
      <c r="D49" s="87"/>
      <c r="E49" s="103">
        <f t="shared" si="0"/>
        <v>0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0</v>
      </c>
      <c r="S49" s="98"/>
    </row>
    <row r="50" spans="1:19" x14ac:dyDescent="0.25">
      <c r="A50" s="4">
        <v>29</v>
      </c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4">
        <v>30</v>
      </c>
      <c r="B51" s="86"/>
      <c r="C51" s="87"/>
      <c r="D51" s="87"/>
      <c r="E51" s="103">
        <f t="shared" si="0"/>
        <v>0</v>
      </c>
      <c r="F51" s="86"/>
      <c r="G51" s="87"/>
      <c r="H51" s="87"/>
      <c r="I51" s="87"/>
      <c r="J51" s="103">
        <f t="shared" si="1"/>
        <v>0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0</v>
      </c>
      <c r="R51" s="91">
        <f t="shared" si="4"/>
        <v>0</v>
      </c>
      <c r="S51" s="98"/>
    </row>
    <row r="52" spans="1:19" ht="15.75" thickBot="1" x14ac:dyDescent="0.3">
      <c r="A52" s="5">
        <v>31</v>
      </c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s="177" customFormat="1" ht="15.75" thickBot="1" x14ac:dyDescent="0.3">
      <c r="A53" s="176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21.2</v>
      </c>
      <c r="E53" s="170">
        <f>+SUM(E22:E52)</f>
        <v>21.2</v>
      </c>
      <c r="F53" s="168">
        <f t="shared" ref="F53:O53" si="6">+SUM(F22:F52)</f>
        <v>0</v>
      </c>
      <c r="G53" s="169">
        <f t="shared" si="6"/>
        <v>0</v>
      </c>
      <c r="H53" s="169">
        <f t="shared" si="6"/>
        <v>0.7</v>
      </c>
      <c r="I53" s="169">
        <f t="shared" si="6"/>
        <v>0</v>
      </c>
      <c r="J53" s="170">
        <f>+SUM(J22:J52)</f>
        <v>0.7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>+SUM(P22:P52)</f>
        <v>0</v>
      </c>
      <c r="Q53" s="173">
        <f>+SUM(Q22:Q52)</f>
        <v>0.7</v>
      </c>
      <c r="R53" s="174">
        <f>+SUM(R22:R52)</f>
        <v>21.9</v>
      </c>
      <c r="S53" s="175">
        <f>+E53+Q53</f>
        <v>21.9</v>
      </c>
    </row>
    <row r="54" spans="1:19" x14ac:dyDescent="0.25">
      <c r="A54" s="9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9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264" t="s">
        <v>111</v>
      </c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R56" s="90"/>
      <c r="S56" s="98"/>
    </row>
    <row r="57" spans="1:19" x14ac:dyDescent="0.25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R57" s="90"/>
      <c r="S57" s="98"/>
    </row>
    <row r="58" spans="1:19" ht="15.75" thickBot="1" x14ac:dyDescent="0.3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250">
        <v>33</v>
      </c>
      <c r="K59" s="251"/>
      <c r="L59" s="251"/>
      <c r="M59" s="251"/>
      <c r="N59" s="251"/>
      <c r="O59" s="252"/>
      <c r="R59" s="166"/>
      <c r="S59" s="142"/>
    </row>
    <row r="60" spans="1:19" ht="15.75" thickBot="1" x14ac:dyDescent="0.3">
      <c r="A60" s="248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257" t="s">
        <v>112</v>
      </c>
      <c r="J60" s="107"/>
      <c r="K60" s="259" t="s">
        <v>114</v>
      </c>
      <c r="L60" s="260"/>
      <c r="M60" s="260"/>
      <c r="N60" s="261"/>
      <c r="O60" s="262" t="s">
        <v>115</v>
      </c>
      <c r="R60" s="92"/>
      <c r="S60" s="98"/>
    </row>
    <row r="61" spans="1:19" ht="60.75" thickBot="1" x14ac:dyDescent="0.3">
      <c r="A61" s="336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337"/>
      <c r="J61" s="179" t="s">
        <v>121</v>
      </c>
      <c r="K61" s="112" t="s">
        <v>122</v>
      </c>
      <c r="L61" s="110" t="s">
        <v>123</v>
      </c>
      <c r="M61" s="110" t="s">
        <v>124</v>
      </c>
      <c r="N61" s="111" t="s">
        <v>125</v>
      </c>
      <c r="O61" s="338"/>
      <c r="R61" s="92"/>
      <c r="S61" s="98"/>
    </row>
    <row r="62" spans="1:19" x14ac:dyDescent="0.25">
      <c r="A62" s="113" t="s">
        <v>126</v>
      </c>
      <c r="B62" s="161">
        <f>+Enero!B62</f>
        <v>0</v>
      </c>
      <c r="C62" s="227">
        <f>+Enero!C62</f>
        <v>0</v>
      </c>
      <c r="D62" s="227">
        <f>+Enero!D62</f>
        <v>0</v>
      </c>
      <c r="E62" s="227">
        <f>+Enero!E62</f>
        <v>0</v>
      </c>
      <c r="F62" s="228">
        <f>+Enero!F62</f>
        <v>13.7</v>
      </c>
      <c r="G62" s="158">
        <f>SUM(B62:F62)</f>
        <v>13.7</v>
      </c>
      <c r="H62" s="92"/>
      <c r="I62" s="113" t="s">
        <v>126</v>
      </c>
      <c r="J62" s="70">
        <f>+Enero!J62</f>
        <v>0</v>
      </c>
      <c r="K62" s="50">
        <f>+Enero!K62</f>
        <v>0</v>
      </c>
      <c r="L62" s="50">
        <f>+Enero!L62</f>
        <v>0</v>
      </c>
      <c r="M62" s="50">
        <f>+Enero!M62</f>
        <v>0</v>
      </c>
      <c r="N62" s="50">
        <f>+Enero!N62</f>
        <v>100</v>
      </c>
      <c r="O62" s="184">
        <f t="shared" ref="O62:O63" si="7">SUM(J62:N62)/100</f>
        <v>1</v>
      </c>
      <c r="R62" s="92"/>
      <c r="S62" s="98"/>
    </row>
    <row r="63" spans="1:19" x14ac:dyDescent="0.25">
      <c r="A63" s="162" t="s">
        <v>131</v>
      </c>
      <c r="B63" s="122">
        <f>+Febrero!B63</f>
        <v>0</v>
      </c>
      <c r="C63" s="123">
        <f>+Febrero!C63</f>
        <v>0</v>
      </c>
      <c r="D63" s="123">
        <f>+Febrero!D63</f>
        <v>0</v>
      </c>
      <c r="E63" s="123">
        <f>+Febrero!E63</f>
        <v>0</v>
      </c>
      <c r="F63" s="226">
        <f>+Febrero!F63</f>
        <v>20.85</v>
      </c>
      <c r="G63" s="163">
        <f>+SUM(B63:F63)</f>
        <v>20.85</v>
      </c>
      <c r="H63" s="90"/>
      <c r="I63" s="121" t="s">
        <v>131</v>
      </c>
      <c r="J63" s="71">
        <f>+Febrero!J63</f>
        <v>0</v>
      </c>
      <c r="K63" s="47">
        <f>+Febrero!K63</f>
        <v>0</v>
      </c>
      <c r="L63" s="47">
        <f>+Febrero!L63</f>
        <v>0</v>
      </c>
      <c r="M63" s="47">
        <f>+Febrero!M63</f>
        <v>0</v>
      </c>
      <c r="N63" s="73">
        <f>+Febrero!N63</f>
        <v>100</v>
      </c>
      <c r="O63" s="192">
        <f t="shared" si="7"/>
        <v>1</v>
      </c>
      <c r="P63" s="90"/>
      <c r="Q63" s="90"/>
      <c r="R63" s="90"/>
      <c r="S63" s="98"/>
    </row>
    <row r="64" spans="1:19" ht="15.75" thickBot="1" x14ac:dyDescent="0.3">
      <c r="A64" s="127" t="s">
        <v>132</v>
      </c>
      <c r="B64" s="128">
        <v>0</v>
      </c>
      <c r="C64" s="129">
        <v>0</v>
      </c>
      <c r="D64" s="129">
        <v>0</v>
      </c>
      <c r="E64" s="129">
        <v>0</v>
      </c>
      <c r="F64" s="159">
        <v>21.9</v>
      </c>
      <c r="G64" s="160">
        <f>+SUM(B64:F64)</f>
        <v>21.9</v>
      </c>
      <c r="H64" s="90"/>
      <c r="I64" s="181" t="s">
        <v>132</v>
      </c>
      <c r="J64" s="72">
        <f>(B64/$R$53)*100</f>
        <v>0</v>
      </c>
      <c r="K64" s="38">
        <f>(C64/$R$53)*100</f>
        <v>0</v>
      </c>
      <c r="L64" s="38">
        <f>(D64/$R$53)*100</f>
        <v>0</v>
      </c>
      <c r="M64" s="38">
        <f>(E64/$R$53)*100</f>
        <v>0</v>
      </c>
      <c r="N64" s="38">
        <f>(F64/$R$53)*100</f>
        <v>100</v>
      </c>
      <c r="O64" s="183">
        <f>SUM(J64:N64)/100</f>
        <v>1</v>
      </c>
      <c r="P64" s="90"/>
      <c r="Q64" s="90"/>
      <c r="R64" s="90"/>
      <c r="S64" s="98"/>
    </row>
    <row r="65" spans="1:19" x14ac:dyDescent="0.25">
      <c r="A65" s="97"/>
      <c r="B65" s="130"/>
      <c r="C65" s="130"/>
      <c r="D65" s="130"/>
      <c r="E65" s="130"/>
      <c r="F65" s="130"/>
      <c r="G65" s="90"/>
      <c r="H65" s="90"/>
      <c r="J65" s="131"/>
      <c r="K65" s="90"/>
      <c r="L65" s="90"/>
      <c r="M65" s="90"/>
      <c r="N65" s="90"/>
      <c r="O65" s="90"/>
      <c r="P65" s="90"/>
      <c r="Q65" s="90"/>
      <c r="R65" s="90"/>
      <c r="S65" s="98"/>
    </row>
    <row r="66" spans="1:19" x14ac:dyDescent="0.25">
      <c r="A66" s="97"/>
      <c r="B66" s="90"/>
      <c r="C66" s="90"/>
      <c r="D66" s="90"/>
      <c r="E66" s="90"/>
      <c r="F66" s="90"/>
      <c r="G66" s="90"/>
      <c r="H66" s="90"/>
      <c r="I66" s="131" t="s">
        <v>127</v>
      </c>
      <c r="J66" s="131"/>
      <c r="K66" s="90"/>
      <c r="L66" s="90"/>
      <c r="M66" s="90"/>
      <c r="N66" s="90"/>
      <c r="O66" s="90"/>
      <c r="P66" s="90"/>
      <c r="Q66" s="90"/>
      <c r="R66" s="90"/>
      <c r="S66" s="98"/>
    </row>
    <row r="67" spans="1:19" x14ac:dyDescent="0.25">
      <c r="A67" s="97"/>
      <c r="B67" s="90"/>
      <c r="C67" s="90"/>
      <c r="D67" s="90"/>
      <c r="E67" s="90"/>
      <c r="F67" s="90"/>
      <c r="G67" s="90"/>
      <c r="H67" s="90"/>
      <c r="I67" s="131" t="s">
        <v>128</v>
      </c>
      <c r="J67" s="131"/>
      <c r="K67" s="90"/>
      <c r="L67" s="90"/>
      <c r="M67" s="90"/>
      <c r="N67" s="90"/>
      <c r="O67" s="90"/>
      <c r="P67" s="90"/>
      <c r="Q67" s="90"/>
      <c r="R67" s="90"/>
      <c r="S67" s="98"/>
    </row>
    <row r="68" spans="1:19" x14ac:dyDescent="0.25">
      <c r="A68" s="97"/>
      <c r="B68" s="90"/>
      <c r="C68" s="90"/>
      <c r="D68" s="90"/>
      <c r="E68" s="90"/>
      <c r="F68" s="90"/>
      <c r="G68" s="90"/>
      <c r="H68" s="90"/>
      <c r="I68" s="131" t="s">
        <v>129</v>
      </c>
      <c r="J68" s="131"/>
      <c r="K68" s="90"/>
      <c r="L68" s="90"/>
      <c r="M68" s="90"/>
      <c r="N68" s="90"/>
      <c r="O68" s="90"/>
      <c r="P68" s="90"/>
      <c r="Q68" s="90"/>
      <c r="R68" s="90"/>
      <c r="S68" s="98"/>
    </row>
    <row r="69" spans="1:19" ht="15.75" thickBot="1" x14ac:dyDescent="0.3">
      <c r="A69" s="132"/>
      <c r="B69" s="93"/>
      <c r="C69" s="93"/>
      <c r="D69" s="93"/>
      <c r="E69" s="93"/>
      <c r="F69" s="93"/>
      <c r="G69" s="93"/>
      <c r="H69" s="93"/>
      <c r="I69" s="133" t="s">
        <v>130</v>
      </c>
      <c r="J69" s="133"/>
      <c r="K69" s="93"/>
      <c r="L69" s="93"/>
      <c r="M69" s="93"/>
      <c r="N69" s="93"/>
      <c r="O69" s="93"/>
      <c r="P69" s="93"/>
      <c r="Q69" s="93"/>
      <c r="R69" s="93"/>
      <c r="S69" s="134"/>
    </row>
  </sheetData>
  <sheetProtection algorithmName="SHA-512" hashValue="RvjDHpUUogNSSpr1yVyDFOI7CV+/MZCaXyZfu1e4EBXLwTpPNz9rt/+erDUBAkJbxIRRppeSvhCpC1XmRbYqDA==" saltValue="XiqRyg8YbD6RMrG/ZJhBHA==" spinCount="100000" sheet="1" selectLockedCells="1"/>
  <mergeCells count="45">
    <mergeCell ref="J59:O59"/>
    <mergeCell ref="A60:A61"/>
    <mergeCell ref="B60:F60"/>
    <mergeCell ref="G60:G61"/>
    <mergeCell ref="I60:I61"/>
    <mergeCell ref="K60:N60"/>
    <mergeCell ref="O60:O61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64">
    <cfRule type="cellIs" dxfId="95" priority="6" operator="notEqual">
      <formula>$R$53</formula>
    </cfRule>
  </conditionalFormatting>
  <conditionalFormatting sqref="O62:O64">
    <cfRule type="cellIs" dxfId="94" priority="3" operator="notEqual">
      <formula>100%</formula>
    </cfRule>
  </conditionalFormatting>
  <pageMargins left="0.7" right="0.7" top="0.75" bottom="0.75" header="0.3" footer="0.3"/>
  <pageSetup paperSize="2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B94B2370-4992-44C5-881F-32C6C024EF3E}">
            <xm:f>Enero!R53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2" operator="notEqual" id="{AFB08A86-6FC1-458A-B7F3-861CF4007ECD}">
            <xm:f>Febrero!R53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A83B-F80E-415F-A147-10DEE13B41E9}">
  <dimension ref="A1:V70"/>
  <sheetViews>
    <sheetView showGridLines="0" zoomScale="70" zoomScaleNormal="70" workbookViewId="0">
      <selection activeCell="D10" sqref="D10:J10"/>
    </sheetView>
  </sheetViews>
  <sheetFormatPr baseColWidth="10" defaultColWidth="0" defaultRowHeight="15" customHeight="1" zeroHeight="1" x14ac:dyDescent="0.25"/>
  <cols>
    <col min="1" max="1" width="17.85546875" style="88" bestFit="1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3.140625" style="88" bestFit="1" customWidth="1"/>
    <col min="19" max="19" width="11.42578125" style="88" customWidth="1"/>
    <col min="20" max="20" width="11.42578125" customWidth="1"/>
    <col min="21" max="21" width="9.42578125" hidden="1" customWidth="1"/>
    <col min="22" max="22" width="0" hidden="1" customWidth="1"/>
    <col min="23" max="16384" width="11.42578125" hidden="1"/>
  </cols>
  <sheetData>
    <row r="1" spans="1:19" x14ac:dyDescent="0.25">
      <c r="A1" s="310"/>
      <c r="B1" s="311"/>
      <c r="C1" s="311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12"/>
      <c r="B2" s="313"/>
      <c r="C2" s="313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12"/>
      <c r="B3" s="313"/>
      <c r="C3" s="313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12"/>
      <c r="B4" s="313"/>
      <c r="C4" s="313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12"/>
      <c r="B5" s="313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12"/>
      <c r="B6" s="313"/>
      <c r="C6" s="313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03" t="s">
        <v>81</v>
      </c>
      <c r="B7" s="304"/>
      <c r="C7" s="304"/>
      <c r="D7" s="305" t="s">
        <v>168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03" t="s">
        <v>83</v>
      </c>
      <c r="B8" s="304"/>
      <c r="C8" s="304"/>
      <c r="D8" s="305" t="s">
        <v>156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169</v>
      </c>
      <c r="O8" s="308"/>
      <c r="P8" s="308"/>
      <c r="Q8" s="308"/>
      <c r="R8" s="308"/>
      <c r="S8" s="309"/>
    </row>
    <row r="9" spans="1:19" x14ac:dyDescent="0.25">
      <c r="A9" s="303" t="s">
        <v>85</v>
      </c>
      <c r="B9" s="304"/>
      <c r="C9" s="304"/>
      <c r="D9" s="305" t="s">
        <v>157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161</v>
      </c>
      <c r="O9" s="308"/>
      <c r="P9" s="308"/>
      <c r="Q9" s="308"/>
      <c r="R9" s="308"/>
      <c r="S9" s="309"/>
    </row>
    <row r="10" spans="1:19" x14ac:dyDescent="0.25">
      <c r="A10" s="303" t="s">
        <v>87</v>
      </c>
      <c r="B10" s="304"/>
      <c r="C10" s="304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171</v>
      </c>
      <c r="O10" s="308"/>
      <c r="P10" s="308"/>
      <c r="Q10" s="308"/>
      <c r="R10" s="308"/>
      <c r="S10" s="309"/>
    </row>
    <row r="11" spans="1:19" x14ac:dyDescent="0.25">
      <c r="A11" s="266" t="s">
        <v>89</v>
      </c>
      <c r="B11" s="267"/>
      <c r="C11" s="267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97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97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274" t="s">
        <v>91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98"/>
    </row>
    <row r="17" spans="1:19" ht="15.75" thickBot="1" x14ac:dyDescent="0.3">
      <c r="A17" s="277"/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9"/>
      <c r="S17" s="98"/>
    </row>
    <row r="18" spans="1:19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19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</row>
    <row r="20" spans="1:19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</row>
    <row r="21" spans="1:19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</row>
    <row r="22" spans="1:19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19" x14ac:dyDescent="0.25">
      <c r="A23" s="4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19" x14ac:dyDescent="0.25">
      <c r="A24" s="4">
        <v>3</v>
      </c>
      <c r="B24" s="86"/>
      <c r="C24" s="87"/>
      <c r="D24" s="87"/>
      <c r="E24" s="103">
        <f t="shared" si="0"/>
        <v>0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0</v>
      </c>
      <c r="S24" s="98"/>
    </row>
    <row r="25" spans="1:19" x14ac:dyDescent="0.25">
      <c r="A25" s="4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19" x14ac:dyDescent="0.25">
      <c r="A26" s="4">
        <v>5</v>
      </c>
      <c r="B26" s="86"/>
      <c r="C26" s="87"/>
      <c r="D26" s="87"/>
      <c r="E26" s="103">
        <f t="shared" si="0"/>
        <v>0</v>
      </c>
      <c r="F26" s="86"/>
      <c r="G26" s="87"/>
      <c r="H26" s="87"/>
      <c r="I26" s="87"/>
      <c r="J26" s="103">
        <f t="shared" si="1"/>
        <v>0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</v>
      </c>
      <c r="R26" s="91">
        <f t="shared" si="4"/>
        <v>0</v>
      </c>
      <c r="S26" s="98"/>
    </row>
    <row r="27" spans="1:19" x14ac:dyDescent="0.25">
      <c r="A27" s="4">
        <v>6</v>
      </c>
      <c r="B27" s="86"/>
      <c r="C27" s="87"/>
      <c r="D27" s="87"/>
      <c r="E27" s="103">
        <f t="shared" si="0"/>
        <v>0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0</v>
      </c>
      <c r="S27" s="98"/>
    </row>
    <row r="28" spans="1:19" x14ac:dyDescent="0.25">
      <c r="A28" s="4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19" x14ac:dyDescent="0.25">
      <c r="A29" s="4">
        <v>8</v>
      </c>
      <c r="B29" s="86"/>
      <c r="C29" s="87"/>
      <c r="D29" s="87"/>
      <c r="E29" s="103">
        <f t="shared" si="0"/>
        <v>0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0</v>
      </c>
      <c r="S29" s="98"/>
    </row>
    <row r="30" spans="1:19" x14ac:dyDescent="0.25">
      <c r="A30" s="4">
        <v>9</v>
      </c>
      <c r="B30" s="86"/>
      <c r="C30" s="87"/>
      <c r="D30" s="87"/>
      <c r="E30" s="103">
        <f t="shared" si="0"/>
        <v>0</v>
      </c>
      <c r="F30" s="86"/>
      <c r="G30" s="87"/>
      <c r="H30" s="87"/>
      <c r="I30" s="87"/>
      <c r="J30" s="103">
        <f t="shared" si="1"/>
        <v>0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</v>
      </c>
      <c r="R30" s="91">
        <f t="shared" si="4"/>
        <v>0</v>
      </c>
      <c r="S30" s="98"/>
    </row>
    <row r="31" spans="1:19" x14ac:dyDescent="0.25">
      <c r="A31" s="4">
        <v>10</v>
      </c>
      <c r="B31" s="86"/>
      <c r="C31" s="87"/>
      <c r="D31" s="87"/>
      <c r="E31" s="103">
        <f t="shared" si="0"/>
        <v>0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0</v>
      </c>
      <c r="S31" s="98"/>
    </row>
    <row r="32" spans="1:19" x14ac:dyDescent="0.25">
      <c r="A32" s="4">
        <v>11</v>
      </c>
      <c r="B32" s="86"/>
      <c r="C32" s="87"/>
      <c r="D32" s="87"/>
      <c r="E32" s="103">
        <f t="shared" si="0"/>
        <v>0</v>
      </c>
      <c r="F32" s="86"/>
      <c r="G32" s="87"/>
      <c r="H32" s="87"/>
      <c r="I32" s="87"/>
      <c r="J32" s="103">
        <f t="shared" si="1"/>
        <v>0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</v>
      </c>
      <c r="R32" s="91">
        <f t="shared" si="4"/>
        <v>0</v>
      </c>
      <c r="S32" s="98"/>
    </row>
    <row r="33" spans="1:19" x14ac:dyDescent="0.25">
      <c r="A33" s="4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4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4">
        <v>14</v>
      </c>
      <c r="B35" s="86"/>
      <c r="C35" s="87"/>
      <c r="D35" s="87"/>
      <c r="E35" s="103">
        <f t="shared" si="0"/>
        <v>0</v>
      </c>
      <c r="F35" s="86"/>
      <c r="G35" s="87"/>
      <c r="H35" s="87"/>
      <c r="I35" s="87"/>
      <c r="J35" s="103">
        <f t="shared" si="1"/>
        <v>0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0</v>
      </c>
      <c r="R35" s="91">
        <f t="shared" si="4"/>
        <v>0</v>
      </c>
      <c r="S35" s="98"/>
    </row>
    <row r="36" spans="1:19" x14ac:dyDescent="0.25">
      <c r="A36" s="4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4">
        <v>16</v>
      </c>
      <c r="B37" s="86"/>
      <c r="C37" s="87"/>
      <c r="D37" s="87">
        <v>10</v>
      </c>
      <c r="E37" s="103">
        <f t="shared" si="0"/>
        <v>10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10</v>
      </c>
      <c r="S37" s="98"/>
    </row>
    <row r="38" spans="1:19" x14ac:dyDescent="0.25">
      <c r="A38" s="4">
        <v>17</v>
      </c>
      <c r="B38" s="86"/>
      <c r="C38" s="87"/>
      <c r="D38" s="87"/>
      <c r="E38" s="103">
        <f t="shared" si="0"/>
        <v>0</v>
      </c>
      <c r="F38" s="86"/>
      <c r="G38" s="87"/>
      <c r="H38" s="87"/>
      <c r="I38" s="87"/>
      <c r="J38" s="103">
        <f t="shared" si="1"/>
        <v>0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0</v>
      </c>
      <c r="R38" s="91">
        <f t="shared" si="4"/>
        <v>0</v>
      </c>
      <c r="S38" s="98"/>
    </row>
    <row r="39" spans="1:19" x14ac:dyDescent="0.25">
      <c r="A39" s="4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4">
        <v>19</v>
      </c>
      <c r="B40" s="86"/>
      <c r="C40" s="87"/>
      <c r="D40" s="87"/>
      <c r="E40" s="103">
        <f t="shared" si="0"/>
        <v>0</v>
      </c>
      <c r="F40" s="86"/>
      <c r="G40" s="87"/>
      <c r="H40" s="87"/>
      <c r="I40" s="87"/>
      <c r="J40" s="103">
        <f t="shared" si="1"/>
        <v>0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</v>
      </c>
      <c r="R40" s="91">
        <f t="shared" si="4"/>
        <v>0</v>
      </c>
      <c r="S40" s="98"/>
    </row>
    <row r="41" spans="1:19" x14ac:dyDescent="0.25">
      <c r="A41" s="4">
        <v>20</v>
      </c>
      <c r="B41" s="86"/>
      <c r="C41" s="87"/>
      <c r="D41" s="87"/>
      <c r="E41" s="103">
        <f t="shared" si="0"/>
        <v>0</v>
      </c>
      <c r="F41" s="86"/>
      <c r="G41" s="87"/>
      <c r="H41" s="87"/>
      <c r="I41" s="87"/>
      <c r="J41" s="103">
        <f t="shared" si="1"/>
        <v>0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0</v>
      </c>
      <c r="R41" s="91">
        <f t="shared" si="4"/>
        <v>0</v>
      </c>
      <c r="S41" s="98"/>
    </row>
    <row r="42" spans="1:19" x14ac:dyDescent="0.25">
      <c r="A42" s="4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4">
        <v>22</v>
      </c>
      <c r="B43" s="86"/>
      <c r="C43" s="87"/>
      <c r="D43" s="87"/>
      <c r="E43" s="103">
        <f t="shared" si="0"/>
        <v>0</v>
      </c>
      <c r="F43" s="86"/>
      <c r="G43" s="87"/>
      <c r="H43" s="87"/>
      <c r="I43" s="87"/>
      <c r="J43" s="103">
        <f t="shared" si="1"/>
        <v>0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</v>
      </c>
      <c r="R43" s="91">
        <f t="shared" si="4"/>
        <v>0</v>
      </c>
      <c r="S43" s="98"/>
    </row>
    <row r="44" spans="1:19" x14ac:dyDescent="0.25">
      <c r="A44" s="4">
        <v>23</v>
      </c>
      <c r="B44" s="86"/>
      <c r="C44" s="87"/>
      <c r="D44" s="87"/>
      <c r="E44" s="103">
        <f t="shared" si="0"/>
        <v>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0</v>
      </c>
      <c r="S44" s="98"/>
    </row>
    <row r="45" spans="1:19" x14ac:dyDescent="0.25">
      <c r="A45" s="4">
        <v>24</v>
      </c>
      <c r="B45" s="86"/>
      <c r="C45" s="87"/>
      <c r="D45" s="87"/>
      <c r="E45" s="103">
        <f t="shared" si="0"/>
        <v>0</v>
      </c>
      <c r="F45" s="86"/>
      <c r="G45" s="87"/>
      <c r="H45" s="87"/>
      <c r="I45" s="87"/>
      <c r="J45" s="103">
        <f t="shared" si="1"/>
        <v>0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0</v>
      </c>
      <c r="R45" s="91">
        <f t="shared" si="4"/>
        <v>0</v>
      </c>
      <c r="S45" s="98"/>
    </row>
    <row r="46" spans="1:19" x14ac:dyDescent="0.25">
      <c r="A46" s="4">
        <v>25</v>
      </c>
      <c r="B46" s="86"/>
      <c r="C46" s="87"/>
      <c r="D46" s="87"/>
      <c r="E46" s="103">
        <f t="shared" si="0"/>
        <v>0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0</v>
      </c>
      <c r="S46" s="98"/>
    </row>
    <row r="47" spans="1:19" x14ac:dyDescent="0.25">
      <c r="A47" s="4">
        <v>26</v>
      </c>
      <c r="B47" s="86"/>
      <c r="C47" s="87"/>
      <c r="D47" s="87"/>
      <c r="E47" s="103">
        <f t="shared" si="0"/>
        <v>0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0</v>
      </c>
      <c r="S47" s="98"/>
    </row>
    <row r="48" spans="1:19" x14ac:dyDescent="0.25">
      <c r="A48" s="4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4">
        <v>28</v>
      </c>
      <c r="B49" s="86"/>
      <c r="C49" s="87"/>
      <c r="D49" s="87"/>
      <c r="E49" s="103">
        <f t="shared" si="0"/>
        <v>0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0</v>
      </c>
      <c r="S49" s="98"/>
    </row>
    <row r="50" spans="1:19" x14ac:dyDescent="0.25">
      <c r="A50" s="4">
        <v>29</v>
      </c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4">
        <v>30</v>
      </c>
      <c r="B51" s="86"/>
      <c r="C51" s="87"/>
      <c r="D51" s="87">
        <v>7.3</v>
      </c>
      <c r="E51" s="103">
        <f t="shared" si="0"/>
        <v>7.3</v>
      </c>
      <c r="F51" s="86"/>
      <c r="G51" s="87"/>
      <c r="H51" s="87">
        <v>0.6</v>
      </c>
      <c r="I51" s="87">
        <v>17</v>
      </c>
      <c r="J51" s="103">
        <f t="shared" si="1"/>
        <v>17.600000000000001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17.600000000000001</v>
      </c>
      <c r="R51" s="91">
        <f t="shared" si="4"/>
        <v>24.900000000000002</v>
      </c>
      <c r="S51" s="98"/>
    </row>
    <row r="52" spans="1:19" ht="15.75" thickBot="1" x14ac:dyDescent="0.3">
      <c r="A52" s="5"/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s="177" customFormat="1" ht="15.75" thickBot="1" x14ac:dyDescent="0.3">
      <c r="A53" s="176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17.3</v>
      </c>
      <c r="E53" s="185">
        <f>+SUM(E22:E52)</f>
        <v>17.3</v>
      </c>
      <c r="F53" s="168">
        <f t="shared" ref="F53:Q53" si="6">+SUM(F22:F52)</f>
        <v>0</v>
      </c>
      <c r="G53" s="169">
        <f t="shared" si="6"/>
        <v>0</v>
      </c>
      <c r="H53" s="169">
        <f t="shared" si="6"/>
        <v>0.6</v>
      </c>
      <c r="I53" s="169">
        <f t="shared" si="6"/>
        <v>17</v>
      </c>
      <c r="J53" s="185">
        <f t="shared" si="6"/>
        <v>17.600000000000001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 t="shared" si="6"/>
        <v>0</v>
      </c>
      <c r="Q53" s="173">
        <f t="shared" si="6"/>
        <v>17.600000000000001</v>
      </c>
      <c r="R53" s="174">
        <f>+SUM(R22:R52)</f>
        <v>34.900000000000006</v>
      </c>
      <c r="S53" s="175">
        <f>+E53+Q53</f>
        <v>34.900000000000006</v>
      </c>
    </row>
    <row r="54" spans="1:19" x14ac:dyDescent="0.25">
      <c r="A54" s="9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9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264" t="s">
        <v>111</v>
      </c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R56" s="90"/>
      <c r="S56" s="98"/>
    </row>
    <row r="57" spans="1:19" x14ac:dyDescent="0.25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R57" s="90"/>
      <c r="S57" s="98"/>
    </row>
    <row r="58" spans="1:19" ht="15.75" thickBot="1" x14ac:dyDescent="0.3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339">
        <v>33</v>
      </c>
      <c r="K59" s="340"/>
      <c r="L59" s="340"/>
      <c r="M59" s="340"/>
      <c r="N59" s="340"/>
      <c r="O59" s="341"/>
      <c r="R59" s="166"/>
      <c r="S59" s="142"/>
    </row>
    <row r="60" spans="1:19" ht="15.75" thickBot="1" x14ac:dyDescent="0.3">
      <c r="A60" s="248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342" t="s">
        <v>112</v>
      </c>
      <c r="J60" s="182"/>
      <c r="K60" s="344" t="s">
        <v>114</v>
      </c>
      <c r="L60" s="344"/>
      <c r="M60" s="344"/>
      <c r="N60" s="345"/>
      <c r="O60" s="289" t="s">
        <v>115</v>
      </c>
      <c r="R60" s="92"/>
      <c r="S60" s="98"/>
    </row>
    <row r="61" spans="1:19" ht="60.75" thickBot="1" x14ac:dyDescent="0.3">
      <c r="A61" s="336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343"/>
      <c r="J61" s="179" t="s">
        <v>121</v>
      </c>
      <c r="K61" s="187" t="s">
        <v>122</v>
      </c>
      <c r="L61" s="187" t="s">
        <v>123</v>
      </c>
      <c r="M61" s="187" t="s">
        <v>124</v>
      </c>
      <c r="N61" s="188" t="s">
        <v>125</v>
      </c>
      <c r="O61" s="290"/>
      <c r="R61" s="92"/>
      <c r="S61" s="98"/>
    </row>
    <row r="62" spans="1:19" x14ac:dyDescent="0.25">
      <c r="A62" s="113" t="s">
        <v>126</v>
      </c>
      <c r="B62" s="114">
        <f>+Enero!B62</f>
        <v>0</v>
      </c>
      <c r="C62" s="115">
        <f>+Enero!C62</f>
        <v>0</v>
      </c>
      <c r="D62" s="115">
        <f>+Enero!D62</f>
        <v>0</v>
      </c>
      <c r="E62" s="116">
        <f>+Enero!E62</f>
        <v>0</v>
      </c>
      <c r="F62" s="117">
        <f>+Enero!F62</f>
        <v>13.7</v>
      </c>
      <c r="G62" s="118">
        <f>SUM(B62:F62)</f>
        <v>13.7</v>
      </c>
      <c r="H62" s="92"/>
      <c r="I62" s="121" t="s">
        <v>126</v>
      </c>
      <c r="J62" s="178">
        <f>+Enero!J62</f>
        <v>0</v>
      </c>
      <c r="K62" s="186">
        <f>+Enero!K62</f>
        <v>0</v>
      </c>
      <c r="L62" s="186">
        <f>+Enero!L62</f>
        <v>0</v>
      </c>
      <c r="M62" s="186">
        <f>+Enero!M62</f>
        <v>0</v>
      </c>
      <c r="N62" s="189">
        <f>+Enero!N62</f>
        <v>100</v>
      </c>
      <c r="O62" s="190">
        <f t="shared" ref="O62:O64" si="7">SUM(J62:N62)/100</f>
        <v>1</v>
      </c>
      <c r="R62" s="92"/>
      <c r="S62" s="98"/>
    </row>
    <row r="63" spans="1:19" x14ac:dyDescent="0.25">
      <c r="A63" s="121" t="s">
        <v>131</v>
      </c>
      <c r="B63" s="122">
        <f>+Febrero!B63</f>
        <v>0</v>
      </c>
      <c r="C63" s="123">
        <f>+Febrero!C63</f>
        <v>0</v>
      </c>
      <c r="D63" s="123">
        <f>+Febrero!D63</f>
        <v>0</v>
      </c>
      <c r="E63" s="123">
        <f>+Febrero!E63</f>
        <v>0</v>
      </c>
      <c r="F63" s="123">
        <f>+Febrero!F63</f>
        <v>20.85</v>
      </c>
      <c r="G63" s="124">
        <f>+SUM(B63:F63)</f>
        <v>20.85</v>
      </c>
      <c r="H63" s="90"/>
      <c r="I63" s="121" t="s">
        <v>131</v>
      </c>
      <c r="J63" s="52">
        <f>+Febrero!J63</f>
        <v>0</v>
      </c>
      <c r="K63" s="47">
        <f>+Febrero!K63</f>
        <v>0</v>
      </c>
      <c r="L63" s="47">
        <f>+Febrero!L63</f>
        <v>0</v>
      </c>
      <c r="M63" s="47">
        <f>+Febrero!M63</f>
        <v>0</v>
      </c>
      <c r="N63" s="53">
        <f>+Febrero!N63</f>
        <v>100</v>
      </c>
      <c r="O63" s="190">
        <f t="shared" si="7"/>
        <v>1</v>
      </c>
      <c r="P63" s="90"/>
      <c r="Q63" s="90"/>
      <c r="R63" s="90"/>
      <c r="S63" s="98"/>
    </row>
    <row r="64" spans="1:19" x14ac:dyDescent="0.25">
      <c r="A64" s="121" t="s">
        <v>132</v>
      </c>
      <c r="B64" s="122">
        <f>+Marzo!B64</f>
        <v>0</v>
      </c>
      <c r="C64" s="123">
        <f>+Marzo!C64</f>
        <v>0</v>
      </c>
      <c r="D64" s="123">
        <f>+Marzo!D64</f>
        <v>0</v>
      </c>
      <c r="E64" s="123">
        <f>+Marzo!E64</f>
        <v>0</v>
      </c>
      <c r="F64" s="123">
        <f>+Marzo!F64</f>
        <v>21.9</v>
      </c>
      <c r="G64" s="124">
        <f t="shared" ref="G64:G65" si="8">+SUM(B64:F64)</f>
        <v>21.9</v>
      </c>
      <c r="H64" s="90"/>
      <c r="I64" s="121" t="s">
        <v>132</v>
      </c>
      <c r="J64" s="52">
        <f>+Marzo!J64</f>
        <v>0</v>
      </c>
      <c r="K64" s="47">
        <f>+Marzo!K64</f>
        <v>0</v>
      </c>
      <c r="L64" s="47">
        <f>+Marzo!L64</f>
        <v>0</v>
      </c>
      <c r="M64" s="47">
        <f>+Marzo!M64</f>
        <v>0</v>
      </c>
      <c r="N64" s="53">
        <f>+Marzo!N64</f>
        <v>100</v>
      </c>
      <c r="O64" s="190">
        <f t="shared" si="7"/>
        <v>1</v>
      </c>
      <c r="P64" s="90"/>
      <c r="Q64" s="90"/>
      <c r="R64" s="90"/>
      <c r="S64" s="98"/>
    </row>
    <row r="65" spans="1:19" ht="15.75" thickBot="1" x14ac:dyDescent="0.3">
      <c r="A65" s="127" t="s">
        <v>133</v>
      </c>
      <c r="B65" s="128">
        <v>0</v>
      </c>
      <c r="C65" s="129">
        <v>0</v>
      </c>
      <c r="D65" s="129">
        <v>0</v>
      </c>
      <c r="E65" s="129">
        <v>0</v>
      </c>
      <c r="F65" s="129">
        <v>34.9</v>
      </c>
      <c r="G65" s="54">
        <f t="shared" si="8"/>
        <v>34.9</v>
      </c>
      <c r="H65" s="90"/>
      <c r="I65" s="181" t="s">
        <v>133</v>
      </c>
      <c r="J65" s="72">
        <f>(B65/$R$53)*100</f>
        <v>0</v>
      </c>
      <c r="K65" s="38">
        <f>(C65/$R$53)*100</f>
        <v>0</v>
      </c>
      <c r="L65" s="38">
        <f>(D65/$R$53)*100</f>
        <v>0</v>
      </c>
      <c r="M65" s="38">
        <f>(E65/$R$53)*100</f>
        <v>0</v>
      </c>
      <c r="N65" s="54">
        <f>(F65/$R$53)*100</f>
        <v>99.999999999999972</v>
      </c>
      <c r="O65" s="191">
        <f>SUM(J65:N65)/100</f>
        <v>0.99999999999999967</v>
      </c>
      <c r="P65" s="90"/>
      <c r="Q65" s="90"/>
      <c r="R65" s="90"/>
      <c r="S65" s="98"/>
    </row>
    <row r="66" spans="1:19" x14ac:dyDescent="0.25">
      <c r="A66" s="97"/>
      <c r="B66" s="130"/>
      <c r="C66" s="130"/>
      <c r="D66" s="130"/>
      <c r="E66" s="130"/>
      <c r="F66" s="130"/>
      <c r="G66" s="90"/>
      <c r="H66" s="90"/>
      <c r="J66" s="131"/>
      <c r="K66" s="90"/>
      <c r="L66" s="90"/>
      <c r="M66" s="90"/>
      <c r="N66" s="90"/>
      <c r="O66" s="90"/>
      <c r="P66" s="90"/>
      <c r="Q66" s="90"/>
      <c r="R66" s="90"/>
      <c r="S66" s="98"/>
    </row>
    <row r="67" spans="1:19" x14ac:dyDescent="0.25">
      <c r="A67" s="97"/>
      <c r="B67" s="90"/>
      <c r="C67" s="90"/>
      <c r="D67" s="90"/>
      <c r="E67" s="90"/>
      <c r="F67" s="90"/>
      <c r="G67" s="90"/>
      <c r="H67" s="90"/>
      <c r="I67" s="131" t="s">
        <v>127</v>
      </c>
      <c r="J67" s="131"/>
      <c r="K67" s="90"/>
      <c r="L67" s="90"/>
      <c r="M67" s="90"/>
      <c r="N67" s="90"/>
      <c r="O67" s="90"/>
      <c r="P67" s="90"/>
      <c r="Q67" s="90"/>
      <c r="R67" s="90"/>
      <c r="S67" s="98"/>
    </row>
    <row r="68" spans="1:19" x14ac:dyDescent="0.25">
      <c r="A68" s="97"/>
      <c r="B68" s="90"/>
      <c r="C68" s="90"/>
      <c r="D68" s="90"/>
      <c r="E68" s="90"/>
      <c r="F68" s="90"/>
      <c r="G68" s="90"/>
      <c r="H68" s="90"/>
      <c r="I68" s="131" t="s">
        <v>128</v>
      </c>
      <c r="J68" s="131"/>
      <c r="K68" s="90"/>
      <c r="L68" s="90"/>
      <c r="M68" s="90"/>
      <c r="N68" s="90"/>
      <c r="O68" s="90"/>
      <c r="P68" s="90"/>
      <c r="Q68" s="90"/>
      <c r="R68" s="90"/>
      <c r="S68" s="98"/>
    </row>
    <row r="69" spans="1:19" x14ac:dyDescent="0.25">
      <c r="A69" s="97"/>
      <c r="B69" s="90"/>
      <c r="C69" s="90"/>
      <c r="D69" s="90"/>
      <c r="E69" s="90"/>
      <c r="F69" s="90"/>
      <c r="G69" s="90"/>
      <c r="H69" s="90"/>
      <c r="I69" s="131" t="s">
        <v>129</v>
      </c>
      <c r="J69" s="131"/>
      <c r="K69" s="90"/>
      <c r="L69" s="90"/>
      <c r="M69" s="90"/>
      <c r="N69" s="90"/>
      <c r="O69" s="90"/>
      <c r="P69" s="90"/>
      <c r="Q69" s="90"/>
      <c r="R69" s="90"/>
      <c r="S69" s="98"/>
    </row>
    <row r="70" spans="1:19" ht="15.75" thickBot="1" x14ac:dyDescent="0.3">
      <c r="A70" s="132"/>
      <c r="B70" s="93"/>
      <c r="C70" s="93"/>
      <c r="D70" s="93"/>
      <c r="E70" s="93"/>
      <c r="F70" s="93"/>
      <c r="G70" s="93"/>
      <c r="H70" s="93"/>
      <c r="I70" s="133" t="s">
        <v>130</v>
      </c>
      <c r="J70" s="133"/>
      <c r="K70" s="93"/>
      <c r="L70" s="93"/>
      <c r="M70" s="93"/>
      <c r="N70" s="93"/>
      <c r="O70" s="93"/>
      <c r="P70" s="93"/>
      <c r="Q70" s="93"/>
      <c r="R70" s="93"/>
      <c r="S70" s="134"/>
    </row>
  </sheetData>
  <sheetProtection algorithmName="SHA-512" hashValue="BGBskE+JsoKmt4vAcj6GV6fm7gB58lHr/VUlYPFpbfPWQmfm/829AhANPD3IdvKe1YJRkg+dldnTOoYtz0+H7w==" saltValue="PfX4216Rs/hWy9isWP+WlQ==" spinCount="100000" sheet="1" selectLockedCells="1"/>
  <mergeCells count="45">
    <mergeCell ref="J59:O59"/>
    <mergeCell ref="A60:A61"/>
    <mergeCell ref="B60:F60"/>
    <mergeCell ref="G60:G61"/>
    <mergeCell ref="I60:I61"/>
    <mergeCell ref="K60:N60"/>
    <mergeCell ref="O60:O61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65">
    <cfRule type="cellIs" dxfId="90" priority="5" operator="notEqual">
      <formula>$R$53</formula>
    </cfRule>
  </conditionalFormatting>
  <conditionalFormatting sqref="O62:O65">
    <cfRule type="cellIs" dxfId="89" priority="4" operator="notEqual">
      <formula>100%</formula>
    </cfRule>
  </conditionalFormatting>
  <pageMargins left="0.7" right="0.7" top="0.75" bottom="0.75" header="0.3" footer="0.3"/>
  <pageSetup paperSize="2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3F585065-76ED-4FAA-9948-0B21F63D12C2}">
            <xm:f>Enero!R53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2" operator="notEqual" id="{6A4A2786-3289-43C3-91B2-1A7140D2E21D}">
            <xm:f>Febrero!R53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3" operator="notEqual" id="{8FBCCF02-7104-4249-8FD6-8BDC91841ADA}">
            <xm:f>Marzo!R53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3F5D-E83F-4ADC-90F8-9B37BF201EFB}">
  <dimension ref="A1:V71"/>
  <sheetViews>
    <sheetView showGridLines="0" zoomScale="70" zoomScaleNormal="70" workbookViewId="0">
      <selection activeCell="D10" sqref="D10:J10"/>
    </sheetView>
  </sheetViews>
  <sheetFormatPr baseColWidth="10" defaultColWidth="0" defaultRowHeight="15" customHeight="1" zeroHeight="1" x14ac:dyDescent="0.25"/>
  <cols>
    <col min="1" max="1" width="17.85546875" style="88" bestFit="1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4" style="88" bestFit="1" customWidth="1"/>
    <col min="19" max="19" width="11.42578125" style="88" customWidth="1"/>
    <col min="20" max="20" width="11.42578125" customWidth="1"/>
    <col min="21" max="21" width="9.42578125" hidden="1" customWidth="1"/>
    <col min="22" max="22" width="0" hidden="1" customWidth="1"/>
    <col min="23" max="16384" width="11.42578125" hidden="1"/>
  </cols>
  <sheetData>
    <row r="1" spans="1:19" x14ac:dyDescent="0.25">
      <c r="A1" s="310"/>
      <c r="B1" s="311"/>
      <c r="C1" s="311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12"/>
      <c r="B2" s="313"/>
      <c r="C2" s="313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12"/>
      <c r="B3" s="313"/>
      <c r="C3" s="313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12"/>
      <c r="B4" s="313"/>
      <c r="C4" s="313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12"/>
      <c r="B5" s="313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12"/>
      <c r="B6" s="313"/>
      <c r="C6" s="313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03" t="s">
        <v>81</v>
      </c>
      <c r="B7" s="304"/>
      <c r="C7" s="304"/>
      <c r="D7" s="305" t="s">
        <v>172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03" t="s">
        <v>83</v>
      </c>
      <c r="B8" s="304"/>
      <c r="C8" s="304"/>
      <c r="D8" s="305" t="s">
        <v>156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169</v>
      </c>
      <c r="O8" s="308"/>
      <c r="P8" s="308"/>
      <c r="Q8" s="308"/>
      <c r="R8" s="308"/>
      <c r="S8" s="309"/>
    </row>
    <row r="9" spans="1:19" x14ac:dyDescent="0.25">
      <c r="A9" s="303" t="s">
        <v>85</v>
      </c>
      <c r="B9" s="304"/>
      <c r="C9" s="304"/>
      <c r="D9" s="305" t="s">
        <v>164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161</v>
      </c>
      <c r="O9" s="308"/>
      <c r="P9" s="308"/>
      <c r="Q9" s="308"/>
      <c r="R9" s="308"/>
      <c r="S9" s="309"/>
    </row>
    <row r="10" spans="1:19" x14ac:dyDescent="0.25">
      <c r="A10" s="303" t="s">
        <v>87</v>
      </c>
      <c r="B10" s="304"/>
      <c r="C10" s="304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173</v>
      </c>
      <c r="O10" s="308"/>
      <c r="P10" s="308"/>
      <c r="Q10" s="308"/>
      <c r="R10" s="308"/>
      <c r="S10" s="309"/>
    </row>
    <row r="11" spans="1:19" x14ac:dyDescent="0.25">
      <c r="A11" s="266" t="s">
        <v>89</v>
      </c>
      <c r="B11" s="267"/>
      <c r="C11" s="267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97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97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274" t="s">
        <v>91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98"/>
    </row>
    <row r="17" spans="1:19" ht="15.75" thickBot="1" x14ac:dyDescent="0.3">
      <c r="A17" s="277"/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9"/>
      <c r="S17" s="98"/>
    </row>
    <row r="18" spans="1:19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19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</row>
    <row r="20" spans="1:19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</row>
    <row r="21" spans="1:19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</row>
    <row r="22" spans="1:19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19" x14ac:dyDescent="0.25">
      <c r="A23" s="4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19" x14ac:dyDescent="0.25">
      <c r="A24" s="4">
        <v>3</v>
      </c>
      <c r="B24" s="86"/>
      <c r="C24" s="87"/>
      <c r="D24" s="87"/>
      <c r="E24" s="103">
        <f t="shared" si="0"/>
        <v>0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0</v>
      </c>
      <c r="S24" s="98"/>
    </row>
    <row r="25" spans="1:19" x14ac:dyDescent="0.25">
      <c r="A25" s="4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19" x14ac:dyDescent="0.25">
      <c r="A26" s="4">
        <v>5</v>
      </c>
      <c r="B26" s="86"/>
      <c r="C26" s="87"/>
      <c r="D26" s="87"/>
      <c r="E26" s="103">
        <f t="shared" si="0"/>
        <v>0</v>
      </c>
      <c r="F26" s="86"/>
      <c r="G26" s="87"/>
      <c r="H26" s="87"/>
      <c r="I26" s="87"/>
      <c r="J26" s="103">
        <f t="shared" si="1"/>
        <v>0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</v>
      </c>
      <c r="R26" s="91">
        <f t="shared" si="4"/>
        <v>0</v>
      </c>
      <c r="S26" s="98"/>
    </row>
    <row r="27" spans="1:19" x14ac:dyDescent="0.25">
      <c r="A27" s="4">
        <v>6</v>
      </c>
      <c r="B27" s="86"/>
      <c r="C27" s="87"/>
      <c r="D27" s="87"/>
      <c r="E27" s="103">
        <f t="shared" si="0"/>
        <v>0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0</v>
      </c>
      <c r="S27" s="98"/>
    </row>
    <row r="28" spans="1:19" x14ac:dyDescent="0.25">
      <c r="A28" s="4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19" x14ac:dyDescent="0.25">
      <c r="A29" s="4">
        <v>8</v>
      </c>
      <c r="B29" s="86"/>
      <c r="C29" s="87"/>
      <c r="D29" s="87"/>
      <c r="E29" s="103">
        <f t="shared" si="0"/>
        <v>0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0</v>
      </c>
      <c r="S29" s="98"/>
    </row>
    <row r="30" spans="1:19" x14ac:dyDescent="0.25">
      <c r="A30" s="4">
        <v>9</v>
      </c>
      <c r="B30" s="86"/>
      <c r="C30" s="87"/>
      <c r="D30" s="87"/>
      <c r="E30" s="103">
        <f t="shared" si="0"/>
        <v>0</v>
      </c>
      <c r="F30" s="86"/>
      <c r="G30" s="87"/>
      <c r="H30" s="87"/>
      <c r="I30" s="87"/>
      <c r="J30" s="103">
        <f t="shared" si="1"/>
        <v>0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</v>
      </c>
      <c r="R30" s="91">
        <f t="shared" si="4"/>
        <v>0</v>
      </c>
      <c r="S30" s="98"/>
    </row>
    <row r="31" spans="1:19" x14ac:dyDescent="0.25">
      <c r="A31" s="4">
        <v>10</v>
      </c>
      <c r="B31" s="86"/>
      <c r="C31" s="87"/>
      <c r="D31" s="87"/>
      <c r="E31" s="103">
        <f t="shared" si="0"/>
        <v>0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0</v>
      </c>
      <c r="S31" s="98"/>
    </row>
    <row r="32" spans="1:19" x14ac:dyDescent="0.25">
      <c r="A32" s="4">
        <v>11</v>
      </c>
      <c r="B32" s="86"/>
      <c r="C32" s="87"/>
      <c r="D32" s="87"/>
      <c r="E32" s="103">
        <f t="shared" si="0"/>
        <v>0</v>
      </c>
      <c r="F32" s="86"/>
      <c r="G32" s="87"/>
      <c r="H32" s="87"/>
      <c r="I32" s="87"/>
      <c r="J32" s="103">
        <f t="shared" si="1"/>
        <v>0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</v>
      </c>
      <c r="R32" s="91">
        <f t="shared" si="4"/>
        <v>0</v>
      </c>
      <c r="S32" s="98"/>
    </row>
    <row r="33" spans="1:19" x14ac:dyDescent="0.25">
      <c r="A33" s="4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4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4">
        <v>14</v>
      </c>
      <c r="B35" s="86"/>
      <c r="C35" s="87"/>
      <c r="D35" s="87">
        <v>8</v>
      </c>
      <c r="E35" s="103">
        <f t="shared" si="0"/>
        <v>8</v>
      </c>
      <c r="F35" s="86"/>
      <c r="G35" s="87"/>
      <c r="H35" s="87">
        <v>1</v>
      </c>
      <c r="I35" s="87"/>
      <c r="J35" s="103">
        <f t="shared" si="1"/>
        <v>1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1</v>
      </c>
      <c r="R35" s="91">
        <f t="shared" si="4"/>
        <v>9</v>
      </c>
      <c r="S35" s="98"/>
    </row>
    <row r="36" spans="1:19" x14ac:dyDescent="0.25">
      <c r="A36" s="4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4">
        <v>16</v>
      </c>
      <c r="B37" s="86"/>
      <c r="C37" s="87"/>
      <c r="D37" s="87"/>
      <c r="E37" s="103">
        <f t="shared" si="0"/>
        <v>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0</v>
      </c>
      <c r="S37" s="98"/>
    </row>
    <row r="38" spans="1:19" x14ac:dyDescent="0.25">
      <c r="A38" s="4">
        <v>17</v>
      </c>
      <c r="B38" s="86"/>
      <c r="C38" s="87"/>
      <c r="D38" s="87"/>
      <c r="E38" s="103">
        <f t="shared" si="0"/>
        <v>0</v>
      </c>
      <c r="F38" s="86"/>
      <c r="G38" s="87"/>
      <c r="H38" s="87"/>
      <c r="I38" s="87"/>
      <c r="J38" s="103">
        <f t="shared" si="1"/>
        <v>0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0</v>
      </c>
      <c r="R38" s="91">
        <f t="shared" si="4"/>
        <v>0</v>
      </c>
      <c r="S38" s="98"/>
    </row>
    <row r="39" spans="1:19" x14ac:dyDescent="0.25">
      <c r="A39" s="4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4">
        <v>19</v>
      </c>
      <c r="B40" s="86"/>
      <c r="C40" s="87"/>
      <c r="D40" s="87"/>
      <c r="E40" s="103">
        <f t="shared" si="0"/>
        <v>0</v>
      </c>
      <c r="F40" s="86"/>
      <c r="G40" s="87"/>
      <c r="H40" s="87"/>
      <c r="I40" s="87"/>
      <c r="J40" s="103">
        <f t="shared" si="1"/>
        <v>0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</v>
      </c>
      <c r="R40" s="91">
        <f t="shared" si="4"/>
        <v>0</v>
      </c>
      <c r="S40" s="98"/>
    </row>
    <row r="41" spans="1:19" x14ac:dyDescent="0.25">
      <c r="A41" s="4">
        <v>20</v>
      </c>
      <c r="B41" s="86"/>
      <c r="C41" s="87"/>
      <c r="D41" s="87"/>
      <c r="E41" s="103">
        <f t="shared" si="0"/>
        <v>0</v>
      </c>
      <c r="F41" s="86"/>
      <c r="G41" s="87"/>
      <c r="H41" s="87"/>
      <c r="I41" s="87"/>
      <c r="J41" s="103">
        <f t="shared" si="1"/>
        <v>0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0</v>
      </c>
      <c r="R41" s="91">
        <f t="shared" si="4"/>
        <v>0</v>
      </c>
      <c r="S41" s="98"/>
    </row>
    <row r="42" spans="1:19" x14ac:dyDescent="0.25">
      <c r="A42" s="4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4">
        <v>22</v>
      </c>
      <c r="B43" s="86"/>
      <c r="C43" s="87"/>
      <c r="D43" s="87"/>
      <c r="E43" s="103">
        <f t="shared" si="0"/>
        <v>0</v>
      </c>
      <c r="F43" s="86"/>
      <c r="G43" s="87"/>
      <c r="H43" s="87"/>
      <c r="I43" s="87"/>
      <c r="J43" s="103">
        <f t="shared" si="1"/>
        <v>0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</v>
      </c>
      <c r="R43" s="91">
        <f t="shared" si="4"/>
        <v>0</v>
      </c>
      <c r="S43" s="98"/>
    </row>
    <row r="44" spans="1:19" x14ac:dyDescent="0.25">
      <c r="A44" s="4">
        <v>23</v>
      </c>
      <c r="B44" s="86"/>
      <c r="C44" s="87"/>
      <c r="D44" s="87"/>
      <c r="E44" s="103">
        <f t="shared" si="0"/>
        <v>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0</v>
      </c>
      <c r="S44" s="98"/>
    </row>
    <row r="45" spans="1:19" x14ac:dyDescent="0.25">
      <c r="A45" s="4">
        <v>24</v>
      </c>
      <c r="B45" s="86"/>
      <c r="C45" s="87"/>
      <c r="D45" s="87"/>
      <c r="E45" s="103">
        <f t="shared" si="0"/>
        <v>0</v>
      </c>
      <c r="F45" s="86"/>
      <c r="G45" s="87"/>
      <c r="H45" s="87"/>
      <c r="I45" s="87"/>
      <c r="J45" s="103">
        <f t="shared" si="1"/>
        <v>0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0</v>
      </c>
      <c r="R45" s="91">
        <f t="shared" si="4"/>
        <v>0</v>
      </c>
      <c r="S45" s="98"/>
    </row>
    <row r="46" spans="1:19" x14ac:dyDescent="0.25">
      <c r="A46" s="4">
        <v>25</v>
      </c>
      <c r="B46" s="86"/>
      <c r="C46" s="87"/>
      <c r="D46" s="87"/>
      <c r="E46" s="103">
        <f t="shared" si="0"/>
        <v>0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0</v>
      </c>
      <c r="S46" s="98"/>
    </row>
    <row r="47" spans="1:19" x14ac:dyDescent="0.25">
      <c r="A47" s="4">
        <v>26</v>
      </c>
      <c r="B47" s="86"/>
      <c r="C47" s="87"/>
      <c r="D47" s="87"/>
      <c r="E47" s="103">
        <f t="shared" si="0"/>
        <v>0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0</v>
      </c>
      <c r="S47" s="98"/>
    </row>
    <row r="48" spans="1:19" x14ac:dyDescent="0.25">
      <c r="A48" s="4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4">
        <v>28</v>
      </c>
      <c r="B49" s="86"/>
      <c r="C49" s="87"/>
      <c r="D49" s="87">
        <v>8.5</v>
      </c>
      <c r="E49" s="103">
        <f t="shared" si="0"/>
        <v>8.5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8.5</v>
      </c>
      <c r="S49" s="98"/>
    </row>
    <row r="50" spans="1:19" x14ac:dyDescent="0.25">
      <c r="A50" s="4">
        <v>29</v>
      </c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4">
        <v>30</v>
      </c>
      <c r="B51" s="86"/>
      <c r="C51" s="87"/>
      <c r="D51" s="87"/>
      <c r="E51" s="103">
        <f t="shared" si="0"/>
        <v>0</v>
      </c>
      <c r="F51" s="86"/>
      <c r="G51" s="87"/>
      <c r="H51" s="87"/>
      <c r="I51" s="87"/>
      <c r="J51" s="103">
        <f t="shared" si="1"/>
        <v>0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0</v>
      </c>
      <c r="R51" s="91">
        <f t="shared" si="4"/>
        <v>0</v>
      </c>
      <c r="S51" s="98"/>
    </row>
    <row r="52" spans="1:19" ht="15.75" thickBot="1" x14ac:dyDescent="0.3">
      <c r="A52" s="5">
        <v>31</v>
      </c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s="177" customFormat="1" ht="15.75" thickBot="1" x14ac:dyDescent="0.3">
      <c r="A53" s="176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16.5</v>
      </c>
      <c r="E53" s="170">
        <f>+SUM(E22:E52)</f>
        <v>16.5</v>
      </c>
      <c r="F53" s="168">
        <f t="shared" ref="F53:Q53" si="6">+SUM(F22:F52)</f>
        <v>0</v>
      </c>
      <c r="G53" s="169">
        <f t="shared" si="6"/>
        <v>0</v>
      </c>
      <c r="H53" s="169">
        <f t="shared" si="6"/>
        <v>1</v>
      </c>
      <c r="I53" s="169">
        <f t="shared" si="6"/>
        <v>0</v>
      </c>
      <c r="J53" s="170">
        <f t="shared" si="6"/>
        <v>1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 t="shared" si="6"/>
        <v>0</v>
      </c>
      <c r="Q53" s="173">
        <f t="shared" si="6"/>
        <v>1</v>
      </c>
      <c r="R53" s="174">
        <f>+SUM(R22:R52)</f>
        <v>17.5</v>
      </c>
      <c r="S53" s="175">
        <f>+E53+Q53</f>
        <v>17.5</v>
      </c>
    </row>
    <row r="54" spans="1:19" x14ac:dyDescent="0.25">
      <c r="A54" s="9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9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264" t="s">
        <v>111</v>
      </c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R56" s="90"/>
      <c r="S56" s="98"/>
    </row>
    <row r="57" spans="1:19" x14ac:dyDescent="0.25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R57" s="90"/>
      <c r="S57" s="98"/>
    </row>
    <row r="58" spans="1:19" ht="15.75" thickBot="1" x14ac:dyDescent="0.3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250">
        <v>33</v>
      </c>
      <c r="K59" s="251"/>
      <c r="L59" s="251"/>
      <c r="M59" s="251"/>
      <c r="N59" s="251"/>
      <c r="O59" s="252"/>
      <c r="R59" s="166"/>
      <c r="S59" s="142"/>
    </row>
    <row r="60" spans="1:19" ht="15.75" thickBot="1" x14ac:dyDescent="0.3">
      <c r="A60" s="248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257" t="s">
        <v>112</v>
      </c>
      <c r="J60" s="107"/>
      <c r="K60" s="259" t="s">
        <v>114</v>
      </c>
      <c r="L60" s="260"/>
      <c r="M60" s="260"/>
      <c r="N60" s="261"/>
      <c r="O60" s="262" t="s">
        <v>115</v>
      </c>
      <c r="R60" s="92"/>
      <c r="S60" s="98"/>
    </row>
    <row r="61" spans="1:19" ht="60.75" thickBot="1" x14ac:dyDescent="0.3">
      <c r="A61" s="336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337"/>
      <c r="J61" s="179" t="s">
        <v>121</v>
      </c>
      <c r="K61" s="112" t="s">
        <v>122</v>
      </c>
      <c r="L61" s="110" t="s">
        <v>123</v>
      </c>
      <c r="M61" s="110" t="s">
        <v>124</v>
      </c>
      <c r="N61" s="111" t="s">
        <v>125</v>
      </c>
      <c r="O61" s="338"/>
      <c r="R61" s="92"/>
      <c r="S61" s="98"/>
    </row>
    <row r="62" spans="1:19" x14ac:dyDescent="0.25">
      <c r="A62" s="113" t="s">
        <v>126</v>
      </c>
      <c r="B62" s="114">
        <f>+Enero!B62</f>
        <v>0</v>
      </c>
      <c r="C62" s="115">
        <f>+Enero!C62</f>
        <v>0</v>
      </c>
      <c r="D62" s="115">
        <f>+Enero!D62</f>
        <v>0</v>
      </c>
      <c r="E62" s="116">
        <f>+Enero!E62</f>
        <v>0</v>
      </c>
      <c r="F62" s="200">
        <f>+Enero!F62</f>
        <v>13.7</v>
      </c>
      <c r="G62" s="197">
        <f>SUM(B62:F62)</f>
        <v>13.7</v>
      </c>
      <c r="H62" s="92"/>
      <c r="I62" s="194" t="s">
        <v>126</v>
      </c>
      <c r="J62" s="49">
        <f>+Enero!J62</f>
        <v>0</v>
      </c>
      <c r="K62" s="50">
        <f>+Enero!K62</f>
        <v>0</v>
      </c>
      <c r="L62" s="50">
        <f>+Enero!L62</f>
        <v>0</v>
      </c>
      <c r="M62" s="50">
        <f>+Enero!M62</f>
        <v>0</v>
      </c>
      <c r="N62" s="51">
        <f>+Enero!N62</f>
        <v>100</v>
      </c>
      <c r="O62" s="196">
        <f t="shared" ref="O62:O65" si="7">SUM(J62:N62)/100</f>
        <v>1</v>
      </c>
      <c r="R62" s="92"/>
      <c r="S62" s="98"/>
    </row>
    <row r="63" spans="1:19" x14ac:dyDescent="0.25">
      <c r="A63" s="121" t="s">
        <v>131</v>
      </c>
      <c r="B63" s="122">
        <f>+Febrero!B63</f>
        <v>0</v>
      </c>
      <c r="C63" s="123">
        <f>+Febrero!C63</f>
        <v>0</v>
      </c>
      <c r="D63" s="123">
        <f>+Febrero!D63</f>
        <v>0</v>
      </c>
      <c r="E63" s="123">
        <f>+Febrero!E63</f>
        <v>0</v>
      </c>
      <c r="F63" s="124">
        <f>+Febrero!F63</f>
        <v>20.85</v>
      </c>
      <c r="G63" s="198">
        <f>+SUM(B63:F63)</f>
        <v>20.85</v>
      </c>
      <c r="H63" s="90"/>
      <c r="I63" s="195" t="s">
        <v>131</v>
      </c>
      <c r="J63" s="52">
        <f>+Febrero!J63</f>
        <v>0</v>
      </c>
      <c r="K63" s="47">
        <f>+Febrero!K63</f>
        <v>0</v>
      </c>
      <c r="L63" s="47">
        <f>+Febrero!L63</f>
        <v>0</v>
      </c>
      <c r="M63" s="47">
        <f>+Febrero!M63</f>
        <v>0</v>
      </c>
      <c r="N63" s="53">
        <f>+Febrero!N63</f>
        <v>100</v>
      </c>
      <c r="O63" s="190">
        <f t="shared" si="7"/>
        <v>1</v>
      </c>
      <c r="P63" s="90"/>
      <c r="Q63" s="90"/>
      <c r="R63" s="90"/>
      <c r="S63" s="98"/>
    </row>
    <row r="64" spans="1:19" x14ac:dyDescent="0.25">
      <c r="A64" s="121" t="s">
        <v>132</v>
      </c>
      <c r="B64" s="122">
        <f>+Marzo!B64</f>
        <v>0</v>
      </c>
      <c r="C64" s="123">
        <f>+Marzo!C64</f>
        <v>0</v>
      </c>
      <c r="D64" s="123">
        <f>+Marzo!D64</f>
        <v>0</v>
      </c>
      <c r="E64" s="123">
        <f>+Marzo!E64</f>
        <v>0</v>
      </c>
      <c r="F64" s="124">
        <f>+Marzo!F64</f>
        <v>21.9</v>
      </c>
      <c r="G64" s="198">
        <f t="shared" ref="G64:G66" si="8">+SUM(B64:F64)</f>
        <v>21.9</v>
      </c>
      <c r="H64" s="90"/>
      <c r="I64" s="195" t="s">
        <v>132</v>
      </c>
      <c r="J64" s="52">
        <f>+Marzo!J64</f>
        <v>0</v>
      </c>
      <c r="K64" s="47">
        <f>+Marzo!K64</f>
        <v>0</v>
      </c>
      <c r="L64" s="47">
        <f>+Marzo!L64</f>
        <v>0</v>
      </c>
      <c r="M64" s="47">
        <f>+Marzo!M64</f>
        <v>0</v>
      </c>
      <c r="N64" s="53">
        <f>+Marzo!N64</f>
        <v>100</v>
      </c>
      <c r="O64" s="190">
        <f t="shared" si="7"/>
        <v>1</v>
      </c>
      <c r="P64" s="90"/>
      <c r="Q64" s="90"/>
      <c r="R64" s="90"/>
      <c r="S64" s="98"/>
    </row>
    <row r="65" spans="1:19" x14ac:dyDescent="0.25">
      <c r="A65" s="121" t="s">
        <v>133</v>
      </c>
      <c r="B65" s="122">
        <f>+Abril!B65</f>
        <v>0</v>
      </c>
      <c r="C65" s="123">
        <f>+Abril!C65</f>
        <v>0</v>
      </c>
      <c r="D65" s="123">
        <f>+Abril!D65</f>
        <v>0</v>
      </c>
      <c r="E65" s="123">
        <f>+Abril!E65</f>
        <v>0</v>
      </c>
      <c r="F65" s="124">
        <f>+Abril!F65</f>
        <v>34.9</v>
      </c>
      <c r="G65" s="198">
        <f t="shared" si="8"/>
        <v>34.9</v>
      </c>
      <c r="H65" s="90"/>
      <c r="I65" s="195" t="s">
        <v>133</v>
      </c>
      <c r="J65" s="52">
        <f>+Abril!J65</f>
        <v>0</v>
      </c>
      <c r="K65" s="47">
        <f>+Abril!K65</f>
        <v>0</v>
      </c>
      <c r="L65" s="47">
        <f>+Abril!L65</f>
        <v>0</v>
      </c>
      <c r="M65" s="47">
        <f>+Abril!M65</f>
        <v>0</v>
      </c>
      <c r="N65" s="53">
        <f>+Abril!N65</f>
        <v>99.999999999999972</v>
      </c>
      <c r="O65" s="190">
        <f t="shared" si="7"/>
        <v>0.99999999999999967</v>
      </c>
      <c r="P65" s="90"/>
      <c r="Q65" s="90"/>
      <c r="R65" s="90"/>
      <c r="S65" s="98"/>
    </row>
    <row r="66" spans="1:19" ht="15.75" thickBot="1" x14ac:dyDescent="0.3">
      <c r="A66" s="127" t="s">
        <v>134</v>
      </c>
      <c r="B66" s="128">
        <v>0</v>
      </c>
      <c r="C66" s="129">
        <v>0</v>
      </c>
      <c r="D66" s="129">
        <v>0</v>
      </c>
      <c r="E66" s="129">
        <v>0</v>
      </c>
      <c r="F66" s="159">
        <v>17.5</v>
      </c>
      <c r="G66" s="199">
        <f t="shared" si="8"/>
        <v>17.5</v>
      </c>
      <c r="H66" s="90"/>
      <c r="I66" s="119" t="s">
        <v>134</v>
      </c>
      <c r="J66" s="72">
        <f>(B66/$R$53)*100</f>
        <v>0</v>
      </c>
      <c r="K66" s="38">
        <f>(C66/$R$53)*100</f>
        <v>0</v>
      </c>
      <c r="L66" s="38">
        <f>(D66/$R$53)*100</f>
        <v>0</v>
      </c>
      <c r="M66" s="38">
        <f>(E66/$R$53)*100</f>
        <v>0</v>
      </c>
      <c r="N66" s="54">
        <f>(F66/$R$53)*100</f>
        <v>100</v>
      </c>
      <c r="O66" s="191">
        <f>SUM(J66:N66)/100</f>
        <v>1</v>
      </c>
      <c r="P66" s="90"/>
      <c r="Q66" s="90"/>
      <c r="R66" s="90"/>
      <c r="S66" s="98"/>
    </row>
    <row r="67" spans="1:19" x14ac:dyDescent="0.25">
      <c r="A67" s="97"/>
      <c r="B67" s="130"/>
      <c r="C67" s="130"/>
      <c r="D67" s="130"/>
      <c r="E67" s="130"/>
      <c r="F67" s="130"/>
      <c r="G67" s="90"/>
      <c r="H67" s="90"/>
      <c r="J67" s="131"/>
      <c r="K67" s="90"/>
      <c r="L67" s="90"/>
      <c r="M67" s="90"/>
      <c r="N67" s="90"/>
      <c r="O67" s="90"/>
      <c r="P67" s="90"/>
      <c r="Q67" s="90"/>
      <c r="R67" s="90"/>
      <c r="S67" s="98"/>
    </row>
    <row r="68" spans="1:19" x14ac:dyDescent="0.25">
      <c r="A68" s="97"/>
      <c r="B68" s="90"/>
      <c r="C68" s="90"/>
      <c r="D68" s="90"/>
      <c r="E68" s="90"/>
      <c r="F68" s="90"/>
      <c r="G68" s="90"/>
      <c r="H68" s="90"/>
      <c r="I68" s="131" t="s">
        <v>127</v>
      </c>
      <c r="J68" s="131"/>
      <c r="K68" s="90"/>
      <c r="L68" s="90"/>
      <c r="M68" s="90"/>
      <c r="N68" s="90"/>
      <c r="O68" s="90"/>
      <c r="P68" s="90"/>
      <c r="Q68" s="90"/>
      <c r="R68" s="90"/>
      <c r="S68" s="98"/>
    </row>
    <row r="69" spans="1:19" x14ac:dyDescent="0.25">
      <c r="A69" s="97"/>
      <c r="B69" s="90"/>
      <c r="C69" s="90"/>
      <c r="D69" s="90"/>
      <c r="E69" s="90"/>
      <c r="F69" s="90"/>
      <c r="G69" s="90"/>
      <c r="H69" s="90"/>
      <c r="I69" s="131" t="s">
        <v>128</v>
      </c>
      <c r="J69" s="131"/>
      <c r="K69" s="90"/>
      <c r="L69" s="90"/>
      <c r="M69" s="90"/>
      <c r="N69" s="90"/>
      <c r="O69" s="90"/>
      <c r="P69" s="90"/>
      <c r="Q69" s="90"/>
      <c r="R69" s="90"/>
      <c r="S69" s="98"/>
    </row>
    <row r="70" spans="1:19" x14ac:dyDescent="0.25">
      <c r="A70" s="97"/>
      <c r="B70" s="90"/>
      <c r="C70" s="90"/>
      <c r="D70" s="90"/>
      <c r="E70" s="90"/>
      <c r="F70" s="90"/>
      <c r="G70" s="90"/>
      <c r="H70" s="90"/>
      <c r="I70" s="131" t="s">
        <v>129</v>
      </c>
      <c r="J70" s="131"/>
      <c r="K70" s="90"/>
      <c r="L70" s="90"/>
      <c r="M70" s="90"/>
      <c r="N70" s="90"/>
      <c r="O70" s="90"/>
      <c r="P70" s="90"/>
      <c r="Q70" s="90"/>
      <c r="R70" s="90"/>
      <c r="S70" s="98"/>
    </row>
    <row r="71" spans="1:19" ht="15.75" thickBot="1" x14ac:dyDescent="0.3">
      <c r="A71" s="132"/>
      <c r="B71" s="93"/>
      <c r="C71" s="93"/>
      <c r="D71" s="93"/>
      <c r="E71" s="93"/>
      <c r="F71" s="93"/>
      <c r="G71" s="93"/>
      <c r="H71" s="93"/>
      <c r="I71" s="133" t="s">
        <v>130</v>
      </c>
      <c r="J71" s="133"/>
      <c r="K71" s="93"/>
      <c r="L71" s="93"/>
      <c r="M71" s="93"/>
      <c r="N71" s="93"/>
      <c r="O71" s="93"/>
      <c r="P71" s="93"/>
      <c r="Q71" s="93"/>
      <c r="R71" s="93"/>
      <c r="S71" s="134"/>
    </row>
  </sheetData>
  <sheetProtection algorithmName="SHA-512" hashValue="o3MOH6vuLRY71qEM9z6eu1WlPp+huSwFzNNkawibqMFDvOcq342F/w1IghV7fZLcfUj+6Qm+bMEbZD0NRlTXeA==" saltValue="vepDWAS+hX9bXosSqYfcHQ==" spinCount="100000" sheet="1" selectLockedCells="1"/>
  <mergeCells count="45">
    <mergeCell ref="J59:O59"/>
    <mergeCell ref="A60:A61"/>
    <mergeCell ref="B60:F60"/>
    <mergeCell ref="G60:G61"/>
    <mergeCell ref="I60:I61"/>
    <mergeCell ref="K60:N60"/>
    <mergeCell ref="O60:O61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66">
    <cfRule type="cellIs" dxfId="84" priority="6" operator="notEqual">
      <formula>$R$53</formula>
    </cfRule>
  </conditionalFormatting>
  <conditionalFormatting sqref="O62:O66">
    <cfRule type="cellIs" dxfId="83" priority="5" operator="notEqual">
      <formula>100%</formula>
    </cfRule>
  </conditionalFormatting>
  <pageMargins left="0.7" right="0.7" top="0.75" bottom="0.75" header="0.3" footer="0.3"/>
  <pageSetup paperSize="2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3FDEF71C-D669-41FD-9F3A-B1126A3C94A2}">
            <xm:f>Enero!R53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2" operator="notEqual" id="{6D71A7A6-D62A-4DC1-8423-EA8DB283CD7F}">
            <xm:f>Febrero!R53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3" operator="notEqual" id="{97F0E36E-35BB-4DBC-AB7D-644E1E8764FC}">
            <xm:f>Marzo!R53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4" operator="notEqual" id="{C1AED895-6A93-402C-AB8D-FB851DA8D71F}">
            <xm:f>Abril!R53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4A46-71A3-47BF-B1AF-DA79085AC365}">
  <dimension ref="A1:V72"/>
  <sheetViews>
    <sheetView showGridLines="0" zoomScale="70" zoomScaleNormal="70" workbookViewId="0">
      <selection activeCell="D10" sqref="D10:J10"/>
    </sheetView>
  </sheetViews>
  <sheetFormatPr baseColWidth="10" defaultColWidth="0" defaultRowHeight="15" customHeight="1" zeroHeight="1" x14ac:dyDescent="0.25"/>
  <cols>
    <col min="1" max="1" width="17.85546875" style="88" bestFit="1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2.5703125" style="88" bestFit="1" customWidth="1"/>
    <col min="19" max="19" width="11.42578125" style="88" customWidth="1"/>
    <col min="20" max="20" width="11.42578125" customWidth="1"/>
    <col min="21" max="21" width="9.42578125" hidden="1" customWidth="1"/>
    <col min="22" max="22" width="0" hidden="1" customWidth="1"/>
    <col min="23" max="16384" width="11.42578125" hidden="1"/>
  </cols>
  <sheetData>
    <row r="1" spans="1:19" x14ac:dyDescent="0.25">
      <c r="A1" s="310"/>
      <c r="B1" s="311"/>
      <c r="C1" s="311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12"/>
      <c r="B2" s="313"/>
      <c r="C2" s="313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12"/>
      <c r="B3" s="313"/>
      <c r="C3" s="313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12"/>
      <c r="B4" s="313"/>
      <c r="C4" s="313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12"/>
      <c r="B5" s="313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12"/>
      <c r="B6" s="313"/>
      <c r="C6" s="313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03" t="s">
        <v>81</v>
      </c>
      <c r="B7" s="304"/>
      <c r="C7" s="304"/>
      <c r="D7" s="305" t="s">
        <v>174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03" t="s">
        <v>83</v>
      </c>
      <c r="B8" s="304"/>
      <c r="C8" s="304"/>
      <c r="D8" s="305" t="s">
        <v>156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169</v>
      </c>
      <c r="O8" s="308"/>
      <c r="P8" s="308"/>
      <c r="Q8" s="308"/>
      <c r="R8" s="308"/>
      <c r="S8" s="309"/>
    </row>
    <row r="9" spans="1:19" x14ac:dyDescent="0.25">
      <c r="A9" s="303" t="s">
        <v>85</v>
      </c>
      <c r="B9" s="304"/>
      <c r="C9" s="304"/>
      <c r="D9" s="305" t="s">
        <v>164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161</v>
      </c>
      <c r="O9" s="308"/>
      <c r="P9" s="308"/>
      <c r="Q9" s="308"/>
      <c r="R9" s="308"/>
      <c r="S9" s="309"/>
    </row>
    <row r="10" spans="1:19" x14ac:dyDescent="0.25">
      <c r="A10" s="303" t="s">
        <v>87</v>
      </c>
      <c r="B10" s="304"/>
      <c r="C10" s="304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175</v>
      </c>
      <c r="O10" s="308"/>
      <c r="P10" s="308"/>
      <c r="Q10" s="308"/>
      <c r="R10" s="308"/>
      <c r="S10" s="309"/>
    </row>
    <row r="11" spans="1:19" x14ac:dyDescent="0.25">
      <c r="A11" s="266" t="s">
        <v>89</v>
      </c>
      <c r="B11" s="267"/>
      <c r="C11" s="267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97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97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274" t="s">
        <v>91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98"/>
    </row>
    <row r="17" spans="1:19" ht="15.75" thickBot="1" x14ac:dyDescent="0.3">
      <c r="A17" s="277"/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9"/>
      <c r="S17" s="98"/>
    </row>
    <row r="18" spans="1:19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19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</row>
    <row r="20" spans="1:19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</row>
    <row r="21" spans="1:19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</row>
    <row r="22" spans="1:19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19" x14ac:dyDescent="0.25">
      <c r="A23" s="4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19" x14ac:dyDescent="0.25">
      <c r="A24" s="4">
        <v>3</v>
      </c>
      <c r="B24" s="86"/>
      <c r="C24" s="87"/>
      <c r="D24" s="87"/>
      <c r="E24" s="103">
        <f t="shared" si="0"/>
        <v>0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0</v>
      </c>
      <c r="S24" s="98"/>
    </row>
    <row r="25" spans="1:19" x14ac:dyDescent="0.25">
      <c r="A25" s="4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19" x14ac:dyDescent="0.25">
      <c r="A26" s="4">
        <v>5</v>
      </c>
      <c r="B26" s="86"/>
      <c r="C26" s="87"/>
      <c r="D26" s="87"/>
      <c r="E26" s="103">
        <f t="shared" si="0"/>
        <v>0</v>
      </c>
      <c r="F26" s="86"/>
      <c r="G26" s="87"/>
      <c r="H26" s="87"/>
      <c r="I26" s="87"/>
      <c r="J26" s="103">
        <f t="shared" si="1"/>
        <v>0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</v>
      </c>
      <c r="R26" s="91">
        <f t="shared" si="4"/>
        <v>0</v>
      </c>
      <c r="S26" s="98"/>
    </row>
    <row r="27" spans="1:19" x14ac:dyDescent="0.25">
      <c r="A27" s="4">
        <v>6</v>
      </c>
      <c r="B27" s="86"/>
      <c r="C27" s="87"/>
      <c r="D27" s="87"/>
      <c r="E27" s="103">
        <f t="shared" si="0"/>
        <v>0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0</v>
      </c>
      <c r="S27" s="98"/>
    </row>
    <row r="28" spans="1:19" x14ac:dyDescent="0.25">
      <c r="A28" s="4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19" x14ac:dyDescent="0.25">
      <c r="A29" s="4">
        <v>8</v>
      </c>
      <c r="B29" s="86"/>
      <c r="C29" s="87"/>
      <c r="D29" s="87"/>
      <c r="E29" s="103">
        <f t="shared" si="0"/>
        <v>0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0</v>
      </c>
      <c r="S29" s="98"/>
    </row>
    <row r="30" spans="1:19" x14ac:dyDescent="0.25">
      <c r="A30" s="4">
        <v>9</v>
      </c>
      <c r="B30" s="86"/>
      <c r="C30" s="87"/>
      <c r="D30" s="87"/>
      <c r="E30" s="103">
        <f t="shared" si="0"/>
        <v>0</v>
      </c>
      <c r="F30" s="86"/>
      <c r="G30" s="87"/>
      <c r="H30" s="87"/>
      <c r="I30" s="87"/>
      <c r="J30" s="103">
        <f t="shared" si="1"/>
        <v>0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</v>
      </c>
      <c r="R30" s="91">
        <f t="shared" si="4"/>
        <v>0</v>
      </c>
      <c r="S30" s="98"/>
    </row>
    <row r="31" spans="1:19" x14ac:dyDescent="0.25">
      <c r="A31" s="4">
        <v>10</v>
      </c>
      <c r="B31" s="86"/>
      <c r="C31" s="87"/>
      <c r="D31" s="87"/>
      <c r="E31" s="103">
        <f t="shared" si="0"/>
        <v>0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0</v>
      </c>
      <c r="S31" s="98"/>
    </row>
    <row r="32" spans="1:19" x14ac:dyDescent="0.25">
      <c r="A32" s="4">
        <v>11</v>
      </c>
      <c r="B32" s="86"/>
      <c r="C32" s="87"/>
      <c r="D32" s="87">
        <v>10</v>
      </c>
      <c r="E32" s="103">
        <f t="shared" si="0"/>
        <v>10</v>
      </c>
      <c r="F32" s="86"/>
      <c r="G32" s="87"/>
      <c r="H32" s="87">
        <v>0.5</v>
      </c>
      <c r="I32" s="87"/>
      <c r="J32" s="103">
        <f t="shared" si="1"/>
        <v>0.5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0.5</v>
      </c>
      <c r="R32" s="91">
        <f t="shared" si="4"/>
        <v>10.5</v>
      </c>
      <c r="S32" s="98"/>
    </row>
    <row r="33" spans="1:19" x14ac:dyDescent="0.25">
      <c r="A33" s="4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4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4">
        <v>14</v>
      </c>
      <c r="B35" s="86"/>
      <c r="C35" s="87"/>
      <c r="D35" s="87"/>
      <c r="E35" s="103">
        <f t="shared" si="0"/>
        <v>0</v>
      </c>
      <c r="F35" s="86"/>
      <c r="G35" s="87"/>
      <c r="H35" s="87"/>
      <c r="I35" s="87"/>
      <c r="J35" s="103">
        <f t="shared" si="1"/>
        <v>0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0</v>
      </c>
      <c r="R35" s="91">
        <f t="shared" si="4"/>
        <v>0</v>
      </c>
      <c r="S35" s="98"/>
    </row>
    <row r="36" spans="1:19" x14ac:dyDescent="0.25">
      <c r="A36" s="4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4">
        <v>16</v>
      </c>
      <c r="B37" s="86"/>
      <c r="C37" s="87"/>
      <c r="D37" s="87"/>
      <c r="E37" s="103">
        <f t="shared" si="0"/>
        <v>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0</v>
      </c>
      <c r="S37" s="98"/>
    </row>
    <row r="38" spans="1:19" x14ac:dyDescent="0.25">
      <c r="A38" s="4">
        <v>17</v>
      </c>
      <c r="B38" s="86"/>
      <c r="C38" s="87"/>
      <c r="D38" s="87"/>
      <c r="E38" s="103">
        <f t="shared" si="0"/>
        <v>0</v>
      </c>
      <c r="F38" s="86"/>
      <c r="G38" s="87"/>
      <c r="H38" s="87"/>
      <c r="I38" s="87"/>
      <c r="J38" s="103">
        <f t="shared" si="1"/>
        <v>0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0</v>
      </c>
      <c r="R38" s="91">
        <f t="shared" si="4"/>
        <v>0</v>
      </c>
      <c r="S38" s="98"/>
    </row>
    <row r="39" spans="1:19" x14ac:dyDescent="0.25">
      <c r="A39" s="4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4">
        <v>19</v>
      </c>
      <c r="B40" s="86"/>
      <c r="C40" s="87"/>
      <c r="D40" s="87"/>
      <c r="E40" s="103">
        <f t="shared" si="0"/>
        <v>0</v>
      </c>
      <c r="F40" s="86"/>
      <c r="G40" s="87"/>
      <c r="H40" s="87"/>
      <c r="I40" s="87"/>
      <c r="J40" s="103">
        <f t="shared" si="1"/>
        <v>0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</v>
      </c>
      <c r="R40" s="91">
        <f t="shared" si="4"/>
        <v>0</v>
      </c>
      <c r="S40" s="98"/>
    </row>
    <row r="41" spans="1:19" x14ac:dyDescent="0.25">
      <c r="A41" s="4">
        <v>20</v>
      </c>
      <c r="B41" s="86"/>
      <c r="C41" s="87"/>
      <c r="D41" s="87"/>
      <c r="E41" s="103">
        <f t="shared" si="0"/>
        <v>0</v>
      </c>
      <c r="F41" s="86"/>
      <c r="G41" s="87"/>
      <c r="H41" s="87"/>
      <c r="I41" s="87"/>
      <c r="J41" s="103">
        <f t="shared" si="1"/>
        <v>0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0</v>
      </c>
      <c r="R41" s="91">
        <f t="shared" si="4"/>
        <v>0</v>
      </c>
      <c r="S41" s="98"/>
    </row>
    <row r="42" spans="1:19" x14ac:dyDescent="0.25">
      <c r="A42" s="4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4">
        <v>22</v>
      </c>
      <c r="B43" s="86"/>
      <c r="C43" s="87"/>
      <c r="D43" s="87"/>
      <c r="E43" s="103">
        <f t="shared" si="0"/>
        <v>0</v>
      </c>
      <c r="F43" s="86"/>
      <c r="G43" s="87"/>
      <c r="H43" s="87"/>
      <c r="I43" s="87"/>
      <c r="J43" s="103">
        <f t="shared" si="1"/>
        <v>0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</v>
      </c>
      <c r="R43" s="91">
        <f t="shared" si="4"/>
        <v>0</v>
      </c>
      <c r="S43" s="98"/>
    </row>
    <row r="44" spans="1:19" x14ac:dyDescent="0.25">
      <c r="A44" s="4">
        <v>23</v>
      </c>
      <c r="B44" s="86"/>
      <c r="C44" s="87"/>
      <c r="D44" s="87"/>
      <c r="E44" s="103">
        <f t="shared" si="0"/>
        <v>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0</v>
      </c>
      <c r="S44" s="98"/>
    </row>
    <row r="45" spans="1:19" x14ac:dyDescent="0.25">
      <c r="A45" s="4">
        <v>24</v>
      </c>
      <c r="B45" s="86"/>
      <c r="C45" s="87"/>
      <c r="D45" s="87"/>
      <c r="E45" s="103">
        <f t="shared" si="0"/>
        <v>0</v>
      </c>
      <c r="F45" s="86"/>
      <c r="G45" s="87"/>
      <c r="H45" s="87"/>
      <c r="I45" s="87"/>
      <c r="J45" s="103">
        <f t="shared" si="1"/>
        <v>0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0</v>
      </c>
      <c r="R45" s="91">
        <f t="shared" si="4"/>
        <v>0</v>
      </c>
      <c r="S45" s="98"/>
    </row>
    <row r="46" spans="1:19" x14ac:dyDescent="0.25">
      <c r="A46" s="4">
        <v>25</v>
      </c>
      <c r="B46" s="86"/>
      <c r="C46" s="87"/>
      <c r="D46" s="87">
        <v>10.3</v>
      </c>
      <c r="E46" s="103">
        <f t="shared" si="0"/>
        <v>10.3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10.3</v>
      </c>
      <c r="S46" s="98"/>
    </row>
    <row r="47" spans="1:19" x14ac:dyDescent="0.25">
      <c r="A47" s="4">
        <v>26</v>
      </c>
      <c r="B47" s="86"/>
      <c r="C47" s="87"/>
      <c r="D47" s="87"/>
      <c r="E47" s="103">
        <f t="shared" si="0"/>
        <v>0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0</v>
      </c>
      <c r="S47" s="98"/>
    </row>
    <row r="48" spans="1:19" x14ac:dyDescent="0.25">
      <c r="A48" s="4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4">
        <v>28</v>
      </c>
      <c r="B49" s="86"/>
      <c r="C49" s="87"/>
      <c r="D49" s="87"/>
      <c r="E49" s="103">
        <f t="shared" si="0"/>
        <v>0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0</v>
      </c>
      <c r="S49" s="98"/>
    </row>
    <row r="50" spans="1:19" x14ac:dyDescent="0.25">
      <c r="A50" s="4">
        <v>29</v>
      </c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4">
        <v>30</v>
      </c>
      <c r="B51" s="86"/>
      <c r="C51" s="87"/>
      <c r="D51" s="87"/>
      <c r="E51" s="103">
        <f t="shared" si="0"/>
        <v>0</v>
      </c>
      <c r="F51" s="86"/>
      <c r="G51" s="87"/>
      <c r="H51" s="87"/>
      <c r="I51" s="87"/>
      <c r="J51" s="103">
        <f t="shared" si="1"/>
        <v>0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0</v>
      </c>
      <c r="R51" s="91">
        <f t="shared" si="4"/>
        <v>0</v>
      </c>
      <c r="S51" s="98"/>
    </row>
    <row r="52" spans="1:19" ht="15.75" thickBot="1" x14ac:dyDescent="0.3">
      <c r="A52" s="5"/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s="177" customFormat="1" ht="15.75" thickBot="1" x14ac:dyDescent="0.3">
      <c r="A53" s="176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20.3</v>
      </c>
      <c r="E53" s="170">
        <f>+SUM(E22:E52)</f>
        <v>20.3</v>
      </c>
      <c r="F53" s="168">
        <f t="shared" ref="F53:Q53" si="6">+SUM(F22:F52)</f>
        <v>0</v>
      </c>
      <c r="G53" s="169">
        <f t="shared" si="6"/>
        <v>0</v>
      </c>
      <c r="H53" s="169">
        <f t="shared" si="6"/>
        <v>0.5</v>
      </c>
      <c r="I53" s="169">
        <f t="shared" si="6"/>
        <v>0</v>
      </c>
      <c r="J53" s="170">
        <f t="shared" si="6"/>
        <v>0.5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 t="shared" si="6"/>
        <v>0</v>
      </c>
      <c r="Q53" s="173">
        <f t="shared" si="6"/>
        <v>0.5</v>
      </c>
      <c r="R53" s="174">
        <f>+SUM(R22:R52)</f>
        <v>20.8</v>
      </c>
      <c r="S53" s="175">
        <f>+E53+Q53</f>
        <v>20.8</v>
      </c>
    </row>
    <row r="54" spans="1:19" x14ac:dyDescent="0.25">
      <c r="A54" s="9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9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264" t="s">
        <v>111</v>
      </c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R56" s="90"/>
      <c r="S56" s="98"/>
    </row>
    <row r="57" spans="1:19" x14ac:dyDescent="0.25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R57" s="90"/>
      <c r="S57" s="98"/>
    </row>
    <row r="58" spans="1:19" ht="15.75" thickBot="1" x14ac:dyDescent="0.3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250">
        <v>33</v>
      </c>
      <c r="K59" s="251"/>
      <c r="L59" s="251"/>
      <c r="M59" s="251"/>
      <c r="N59" s="251"/>
      <c r="O59" s="252"/>
      <c r="R59" s="166"/>
      <c r="S59" s="142"/>
    </row>
    <row r="60" spans="1:19" ht="15.75" thickBot="1" x14ac:dyDescent="0.3">
      <c r="A60" s="248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257" t="s">
        <v>112</v>
      </c>
      <c r="J60" s="107"/>
      <c r="K60" s="259" t="s">
        <v>114</v>
      </c>
      <c r="L60" s="260"/>
      <c r="M60" s="260"/>
      <c r="N60" s="261"/>
      <c r="O60" s="262" t="s">
        <v>115</v>
      </c>
      <c r="R60" s="92"/>
      <c r="S60" s="98"/>
    </row>
    <row r="61" spans="1:19" ht="60.75" thickBot="1" x14ac:dyDescent="0.3">
      <c r="A61" s="336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337"/>
      <c r="J61" s="179" t="s">
        <v>121</v>
      </c>
      <c r="K61" s="112" t="s">
        <v>122</v>
      </c>
      <c r="L61" s="110" t="s">
        <v>123</v>
      </c>
      <c r="M61" s="110" t="s">
        <v>124</v>
      </c>
      <c r="N61" s="111" t="s">
        <v>125</v>
      </c>
      <c r="O61" s="338"/>
      <c r="R61" s="92"/>
      <c r="S61" s="98"/>
    </row>
    <row r="62" spans="1:19" x14ac:dyDescent="0.25">
      <c r="A62" s="113" t="s">
        <v>126</v>
      </c>
      <c r="B62" s="114">
        <f>+Enero!B62</f>
        <v>0</v>
      </c>
      <c r="C62" s="115">
        <f>+Enero!C62</f>
        <v>0</v>
      </c>
      <c r="D62" s="115">
        <f>+Enero!D62</f>
        <v>0</v>
      </c>
      <c r="E62" s="116">
        <f>+Enero!E62</f>
        <v>0</v>
      </c>
      <c r="F62" s="200">
        <f>+Enero!F62</f>
        <v>13.7</v>
      </c>
      <c r="G62" s="197">
        <f>SUM(B62:F62)</f>
        <v>13.7</v>
      </c>
      <c r="H62" s="92"/>
      <c r="I62" s="194" t="s">
        <v>126</v>
      </c>
      <c r="J62" s="49">
        <f>+Enero!J62</f>
        <v>0</v>
      </c>
      <c r="K62" s="50">
        <f>+Enero!K62</f>
        <v>0</v>
      </c>
      <c r="L62" s="50">
        <f>+Enero!L62</f>
        <v>0</v>
      </c>
      <c r="M62" s="50">
        <f>+Enero!M62</f>
        <v>0</v>
      </c>
      <c r="N62" s="51">
        <f>+Enero!N62</f>
        <v>100</v>
      </c>
      <c r="O62" s="196">
        <f t="shared" ref="O62:O66" si="7">SUM(J62:N62)/100</f>
        <v>1</v>
      </c>
      <c r="R62" s="92"/>
      <c r="S62" s="98"/>
    </row>
    <row r="63" spans="1:19" x14ac:dyDescent="0.25">
      <c r="A63" s="121" t="s">
        <v>131</v>
      </c>
      <c r="B63" s="122">
        <f>+Febrero!B63</f>
        <v>0</v>
      </c>
      <c r="C63" s="123">
        <f>+Febrero!C63</f>
        <v>0</v>
      </c>
      <c r="D63" s="123">
        <f>+Febrero!D63</f>
        <v>0</v>
      </c>
      <c r="E63" s="123">
        <f>+Febrero!E63</f>
        <v>0</v>
      </c>
      <c r="F63" s="124">
        <f>+Febrero!F63</f>
        <v>20.85</v>
      </c>
      <c r="G63" s="198">
        <f>+SUM(B63:F63)</f>
        <v>20.85</v>
      </c>
      <c r="H63" s="90"/>
      <c r="I63" s="195" t="s">
        <v>131</v>
      </c>
      <c r="J63" s="52">
        <f>+Febrero!J63</f>
        <v>0</v>
      </c>
      <c r="K63" s="47">
        <f>+Febrero!K63</f>
        <v>0</v>
      </c>
      <c r="L63" s="47">
        <f>+Febrero!L63</f>
        <v>0</v>
      </c>
      <c r="M63" s="47">
        <f>+Febrero!M63</f>
        <v>0</v>
      </c>
      <c r="N63" s="53">
        <f>+Febrero!N63</f>
        <v>100</v>
      </c>
      <c r="O63" s="190">
        <f t="shared" si="7"/>
        <v>1</v>
      </c>
      <c r="P63" s="90"/>
      <c r="Q63" s="90"/>
      <c r="R63" s="90"/>
      <c r="S63" s="98"/>
    </row>
    <row r="64" spans="1:19" x14ac:dyDescent="0.25">
      <c r="A64" s="121" t="s">
        <v>132</v>
      </c>
      <c r="B64" s="122">
        <f>+Marzo!B64</f>
        <v>0</v>
      </c>
      <c r="C64" s="123">
        <f>+Marzo!C64</f>
        <v>0</v>
      </c>
      <c r="D64" s="123">
        <f>+Marzo!D64</f>
        <v>0</v>
      </c>
      <c r="E64" s="123">
        <f>+Marzo!E64</f>
        <v>0</v>
      </c>
      <c r="F64" s="124">
        <f>+Marzo!F64</f>
        <v>21.9</v>
      </c>
      <c r="G64" s="198">
        <f t="shared" ref="G64:G67" si="8">+SUM(B64:F64)</f>
        <v>21.9</v>
      </c>
      <c r="H64" s="90"/>
      <c r="I64" s="195" t="s">
        <v>132</v>
      </c>
      <c r="J64" s="52">
        <f>+Marzo!J64</f>
        <v>0</v>
      </c>
      <c r="K64" s="47">
        <f>+Marzo!K64</f>
        <v>0</v>
      </c>
      <c r="L64" s="47">
        <f>+Marzo!L64</f>
        <v>0</v>
      </c>
      <c r="M64" s="47">
        <f>+Marzo!M64</f>
        <v>0</v>
      </c>
      <c r="N64" s="53">
        <f>+Marzo!N64</f>
        <v>100</v>
      </c>
      <c r="O64" s="190">
        <f t="shared" si="7"/>
        <v>1</v>
      </c>
      <c r="P64" s="90"/>
      <c r="Q64" s="90"/>
      <c r="R64" s="90"/>
      <c r="S64" s="98"/>
    </row>
    <row r="65" spans="1:19" x14ac:dyDescent="0.25">
      <c r="A65" s="121" t="s">
        <v>133</v>
      </c>
      <c r="B65" s="122">
        <f>+Abril!B65</f>
        <v>0</v>
      </c>
      <c r="C65" s="123">
        <f>+Abril!C65</f>
        <v>0</v>
      </c>
      <c r="D65" s="123">
        <f>+Abril!D65</f>
        <v>0</v>
      </c>
      <c r="E65" s="123">
        <f>+Abril!E65</f>
        <v>0</v>
      </c>
      <c r="F65" s="124">
        <f>+Abril!F65</f>
        <v>34.9</v>
      </c>
      <c r="G65" s="198">
        <f t="shared" si="8"/>
        <v>34.9</v>
      </c>
      <c r="H65" s="90"/>
      <c r="I65" s="195" t="s">
        <v>133</v>
      </c>
      <c r="J65" s="52">
        <f>+Abril!J65</f>
        <v>0</v>
      </c>
      <c r="K65" s="47">
        <f>+Abril!K65</f>
        <v>0</v>
      </c>
      <c r="L65" s="47">
        <f>+Abril!L65</f>
        <v>0</v>
      </c>
      <c r="M65" s="47">
        <f>+Abril!M65</f>
        <v>0</v>
      </c>
      <c r="N65" s="53">
        <f>+Abril!N65</f>
        <v>99.999999999999972</v>
      </c>
      <c r="O65" s="190">
        <f t="shared" si="7"/>
        <v>0.99999999999999967</v>
      </c>
      <c r="P65" s="90"/>
      <c r="Q65" s="90"/>
      <c r="R65" s="90"/>
      <c r="S65" s="98"/>
    </row>
    <row r="66" spans="1:19" x14ac:dyDescent="0.25">
      <c r="A66" s="121" t="s">
        <v>134</v>
      </c>
      <c r="B66" s="122">
        <f>+Mayo!B66</f>
        <v>0</v>
      </c>
      <c r="C66" s="123">
        <f>+Mayo!C66</f>
        <v>0</v>
      </c>
      <c r="D66" s="123">
        <f>+Mayo!D66</f>
        <v>0</v>
      </c>
      <c r="E66" s="123">
        <f>+Mayo!E66</f>
        <v>0</v>
      </c>
      <c r="F66" s="124">
        <f>+Mayo!F66</f>
        <v>17.5</v>
      </c>
      <c r="G66" s="198">
        <f t="shared" si="8"/>
        <v>17.5</v>
      </c>
      <c r="H66" s="90"/>
      <c r="I66" s="195" t="s">
        <v>134</v>
      </c>
      <c r="J66" s="52">
        <f>+Mayo!J66</f>
        <v>0</v>
      </c>
      <c r="K66" s="47">
        <f>+Mayo!K66</f>
        <v>0</v>
      </c>
      <c r="L66" s="47">
        <f>+Mayo!L66</f>
        <v>0</v>
      </c>
      <c r="M66" s="47">
        <f>+Mayo!M66</f>
        <v>0</v>
      </c>
      <c r="N66" s="53">
        <f>+Mayo!N66</f>
        <v>100</v>
      </c>
      <c r="O66" s="190">
        <f t="shared" si="7"/>
        <v>1</v>
      </c>
      <c r="P66" s="90"/>
      <c r="Q66" s="90"/>
      <c r="R66" s="90"/>
      <c r="S66" s="98"/>
    </row>
    <row r="67" spans="1:19" ht="15.75" thickBot="1" x14ac:dyDescent="0.3">
      <c r="A67" s="127" t="s">
        <v>135</v>
      </c>
      <c r="B67" s="128">
        <v>0</v>
      </c>
      <c r="C67" s="129">
        <v>0</v>
      </c>
      <c r="D67" s="129">
        <v>0</v>
      </c>
      <c r="E67" s="129">
        <v>0</v>
      </c>
      <c r="F67" s="159">
        <v>20.8</v>
      </c>
      <c r="G67" s="199">
        <f t="shared" si="8"/>
        <v>20.8</v>
      </c>
      <c r="H67" s="90"/>
      <c r="I67" s="119" t="s">
        <v>135</v>
      </c>
      <c r="J67" s="72">
        <f>(B67/$R$53)*100</f>
        <v>0</v>
      </c>
      <c r="K67" s="38">
        <f>(C67/$R$53)*100</f>
        <v>0</v>
      </c>
      <c r="L67" s="38">
        <f>(D67/$R$53)*100</f>
        <v>0</v>
      </c>
      <c r="M67" s="38">
        <f>(E67/$R$53)*100</f>
        <v>0</v>
      </c>
      <c r="N67" s="54">
        <f>(F67/$R$53)*100</f>
        <v>100</v>
      </c>
      <c r="O67" s="191">
        <f>SUM(J67:N67)/100</f>
        <v>1</v>
      </c>
      <c r="P67" s="90"/>
      <c r="Q67" s="90"/>
      <c r="R67" s="90"/>
      <c r="S67" s="98"/>
    </row>
    <row r="68" spans="1:19" x14ac:dyDescent="0.25">
      <c r="A68" s="97"/>
      <c r="B68" s="130"/>
      <c r="C68" s="130"/>
      <c r="D68" s="130"/>
      <c r="E68" s="130"/>
      <c r="F68" s="130"/>
      <c r="G68" s="90"/>
      <c r="H68" s="90"/>
      <c r="J68" s="131"/>
      <c r="K68" s="90"/>
      <c r="L68" s="90"/>
      <c r="M68" s="90"/>
      <c r="N68" s="90"/>
      <c r="O68" s="90"/>
      <c r="P68" s="90"/>
      <c r="Q68" s="90"/>
      <c r="R68" s="90"/>
      <c r="S68" s="98"/>
    </row>
    <row r="69" spans="1:19" x14ac:dyDescent="0.25">
      <c r="A69" s="97"/>
      <c r="B69" s="90"/>
      <c r="C69" s="90"/>
      <c r="D69" s="90"/>
      <c r="E69" s="90"/>
      <c r="F69" s="90"/>
      <c r="G69" s="90"/>
      <c r="H69" s="90"/>
      <c r="I69" s="131" t="s">
        <v>127</v>
      </c>
      <c r="J69" s="131"/>
      <c r="K69" s="90"/>
      <c r="L69" s="90"/>
      <c r="M69" s="90"/>
      <c r="N69" s="90"/>
      <c r="O69" s="90"/>
      <c r="P69" s="90"/>
      <c r="Q69" s="90"/>
      <c r="R69" s="90"/>
      <c r="S69" s="98"/>
    </row>
    <row r="70" spans="1:19" x14ac:dyDescent="0.25">
      <c r="A70" s="97"/>
      <c r="B70" s="90"/>
      <c r="C70" s="90"/>
      <c r="D70" s="90"/>
      <c r="E70" s="90"/>
      <c r="F70" s="90"/>
      <c r="G70" s="90"/>
      <c r="H70" s="90"/>
      <c r="I70" s="131" t="s">
        <v>128</v>
      </c>
      <c r="J70" s="131"/>
      <c r="K70" s="90"/>
      <c r="L70" s="90"/>
      <c r="M70" s="90"/>
      <c r="N70" s="90"/>
      <c r="O70" s="90"/>
      <c r="P70" s="90"/>
      <c r="Q70" s="90"/>
      <c r="R70" s="90"/>
      <c r="S70" s="98"/>
    </row>
    <row r="71" spans="1:19" x14ac:dyDescent="0.25">
      <c r="A71" s="97"/>
      <c r="B71" s="90"/>
      <c r="C71" s="90"/>
      <c r="D71" s="90"/>
      <c r="E71" s="90"/>
      <c r="F71" s="90"/>
      <c r="G71" s="90"/>
      <c r="H71" s="90"/>
      <c r="I71" s="131" t="s">
        <v>129</v>
      </c>
      <c r="J71" s="131"/>
      <c r="K71" s="90"/>
      <c r="L71" s="90"/>
      <c r="M71" s="90"/>
      <c r="N71" s="90"/>
      <c r="O71" s="90"/>
      <c r="P71" s="90"/>
      <c r="Q71" s="90"/>
      <c r="R71" s="90"/>
      <c r="S71" s="98"/>
    </row>
    <row r="72" spans="1:19" ht="15.75" thickBot="1" x14ac:dyDescent="0.3">
      <c r="A72" s="132"/>
      <c r="B72" s="93"/>
      <c r="C72" s="93"/>
      <c r="D72" s="93"/>
      <c r="E72" s="93"/>
      <c r="F72" s="93"/>
      <c r="G72" s="93"/>
      <c r="H72" s="93"/>
      <c r="I72" s="133" t="s">
        <v>130</v>
      </c>
      <c r="J72" s="133"/>
      <c r="K72" s="93"/>
      <c r="L72" s="93"/>
      <c r="M72" s="93"/>
      <c r="N72" s="93"/>
      <c r="O72" s="93"/>
      <c r="P72" s="93"/>
      <c r="Q72" s="93"/>
      <c r="R72" s="93"/>
      <c r="S72" s="134"/>
    </row>
  </sheetData>
  <sheetProtection algorithmName="SHA-512" hashValue="hFlsDSjco6CPt1EhGyTHzNgCXPIfwvtOkZiC2gzqMrbX+cB77r7ELO8XC7f+ItqaWpY+MZ3EGtbhaSBpqMR3Kw==" saltValue="TstyjAuvA6aODAPQB+rWbA==" spinCount="100000" sheet="1" selectLockedCells="1"/>
  <mergeCells count="45">
    <mergeCell ref="J59:O59"/>
    <mergeCell ref="A60:A61"/>
    <mergeCell ref="B60:F60"/>
    <mergeCell ref="G60:G61"/>
    <mergeCell ref="I60:I61"/>
    <mergeCell ref="K60:N60"/>
    <mergeCell ref="O60:O61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67">
    <cfRule type="cellIs" dxfId="77" priority="7" operator="notEqual">
      <formula>$R$53</formula>
    </cfRule>
  </conditionalFormatting>
  <conditionalFormatting sqref="O62:O67">
    <cfRule type="cellIs" dxfId="76" priority="6" operator="notEqual">
      <formula>100%</formula>
    </cfRule>
  </conditionalFormatting>
  <pageMargins left="0.7" right="0.7" top="0.75" bottom="0.75" header="0.3" footer="0.3"/>
  <pageSetup paperSize="2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3BC596FE-EED0-47F1-8B25-0F3E76ABE32D}">
            <xm:f>Enero!R53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2" operator="notEqual" id="{605B89A8-6EEE-4693-A408-B4516DC09F1F}">
            <xm:f>Febrero!R53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3" operator="notEqual" id="{D325B32D-6B41-47D1-8715-B28ED486B802}">
            <xm:f>Marzo!R53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4" operator="notEqual" id="{FA2149B4-2A3C-486F-B517-8230722C87CF}">
            <xm:f>Abril!R53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5" operator="notEqual" id="{615E18F2-2F9D-4F37-8499-7C8FBCD8AF30}">
            <xm:f>Mayo!R53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CECF-AE25-41D2-9A6E-E8C6DF9BB4F3}">
  <dimension ref="A1:V73"/>
  <sheetViews>
    <sheetView showGridLines="0" zoomScale="70" zoomScaleNormal="70" workbookViewId="0">
      <selection activeCell="D10" sqref="D10:J10"/>
    </sheetView>
  </sheetViews>
  <sheetFormatPr baseColWidth="10" defaultColWidth="0" defaultRowHeight="15" customHeight="1" zeroHeight="1" x14ac:dyDescent="0.25"/>
  <cols>
    <col min="1" max="1" width="17.85546875" bestFit="1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4" style="88" bestFit="1" customWidth="1"/>
    <col min="19" max="20" width="11.42578125" style="88" customWidth="1"/>
    <col min="21" max="21" width="9.42578125" hidden="1" customWidth="1"/>
    <col min="22" max="22" width="0" hidden="1" customWidth="1"/>
    <col min="23" max="16384" width="11.42578125" hidden="1"/>
  </cols>
  <sheetData>
    <row r="1" spans="1:19" x14ac:dyDescent="0.25">
      <c r="A1" s="346"/>
      <c r="B1" s="347"/>
      <c r="C1" s="347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48"/>
      <c r="B2" s="349"/>
      <c r="C2" s="349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48"/>
      <c r="B3" s="349"/>
      <c r="C3" s="349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48"/>
      <c r="B4" s="349"/>
      <c r="C4" s="349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48"/>
      <c r="B5" s="349"/>
      <c r="C5" s="349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48"/>
      <c r="B6" s="349"/>
      <c r="C6" s="349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50" t="s">
        <v>81</v>
      </c>
      <c r="B7" s="351"/>
      <c r="C7" s="351"/>
      <c r="D7" s="305" t="s">
        <v>172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50" t="s">
        <v>83</v>
      </c>
      <c r="B8" s="351"/>
      <c r="C8" s="351"/>
      <c r="D8" s="305" t="s">
        <v>156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169</v>
      </c>
      <c r="O8" s="308"/>
      <c r="P8" s="308"/>
      <c r="Q8" s="308"/>
      <c r="R8" s="308"/>
      <c r="S8" s="309"/>
    </row>
    <row r="9" spans="1:19" x14ac:dyDescent="0.25">
      <c r="A9" s="350" t="s">
        <v>85</v>
      </c>
      <c r="B9" s="351"/>
      <c r="C9" s="351"/>
      <c r="D9" s="305" t="s">
        <v>164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161</v>
      </c>
      <c r="O9" s="308"/>
      <c r="P9" s="308"/>
      <c r="Q9" s="308"/>
      <c r="R9" s="308"/>
      <c r="S9" s="309"/>
    </row>
    <row r="10" spans="1:19" x14ac:dyDescent="0.25">
      <c r="A10" s="350" t="s">
        <v>87</v>
      </c>
      <c r="B10" s="351"/>
      <c r="C10" s="351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176</v>
      </c>
      <c r="O10" s="308"/>
      <c r="P10" s="308"/>
      <c r="Q10" s="308"/>
      <c r="R10" s="308"/>
      <c r="S10" s="309"/>
    </row>
    <row r="11" spans="1:19" x14ac:dyDescent="0.25">
      <c r="A11" s="354" t="s">
        <v>89</v>
      </c>
      <c r="B11" s="355"/>
      <c r="C11" s="355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12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12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356" t="s">
        <v>91</v>
      </c>
      <c r="B16" s="357"/>
      <c r="C16" s="357"/>
      <c r="D16" s="357"/>
      <c r="E16" s="357"/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8"/>
      <c r="S16" s="98"/>
    </row>
    <row r="17" spans="1:20" ht="15.75" thickBot="1" x14ac:dyDescent="0.3">
      <c r="A17" s="359"/>
      <c r="B17" s="360"/>
      <c r="C17" s="360"/>
      <c r="D17" s="360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360"/>
      <c r="P17" s="360"/>
      <c r="Q17" s="360"/>
      <c r="R17" s="361"/>
      <c r="S17" s="98"/>
    </row>
    <row r="18" spans="1:20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20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  <c r="T19"/>
    </row>
    <row r="20" spans="1:20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  <c r="T20"/>
    </row>
    <row r="21" spans="1:20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  <c r="T21"/>
    </row>
    <row r="22" spans="1:20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20" x14ac:dyDescent="0.25">
      <c r="A23" s="4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20" x14ac:dyDescent="0.25">
      <c r="A24" s="4">
        <v>3</v>
      </c>
      <c r="B24" s="86"/>
      <c r="C24" s="87"/>
      <c r="D24" s="87"/>
      <c r="E24" s="103">
        <f t="shared" si="0"/>
        <v>0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0</v>
      </c>
      <c r="S24" s="98"/>
    </row>
    <row r="25" spans="1:20" x14ac:dyDescent="0.25">
      <c r="A25" s="4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20" x14ac:dyDescent="0.25">
      <c r="A26" s="4">
        <v>5</v>
      </c>
      <c r="B26" s="86"/>
      <c r="C26" s="87"/>
      <c r="D26" s="87"/>
      <c r="E26" s="103">
        <f t="shared" si="0"/>
        <v>0</v>
      </c>
      <c r="F26" s="86"/>
      <c r="G26" s="87"/>
      <c r="H26" s="87"/>
      <c r="I26" s="87"/>
      <c r="J26" s="103">
        <f t="shared" si="1"/>
        <v>0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</v>
      </c>
      <c r="R26" s="91">
        <f t="shared" si="4"/>
        <v>0</v>
      </c>
      <c r="S26" s="98"/>
    </row>
    <row r="27" spans="1:20" x14ac:dyDescent="0.25">
      <c r="A27" s="4">
        <v>6</v>
      </c>
      <c r="B27" s="86"/>
      <c r="C27" s="87"/>
      <c r="D27" s="87"/>
      <c r="E27" s="103">
        <f t="shared" si="0"/>
        <v>0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0</v>
      </c>
      <c r="S27" s="98"/>
    </row>
    <row r="28" spans="1:20" x14ac:dyDescent="0.25">
      <c r="A28" s="4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20" x14ac:dyDescent="0.25">
      <c r="A29" s="4">
        <v>8</v>
      </c>
      <c r="B29" s="86"/>
      <c r="C29" s="87"/>
      <c r="D29" s="87"/>
      <c r="E29" s="103">
        <f t="shared" si="0"/>
        <v>0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0</v>
      </c>
      <c r="S29" s="98"/>
    </row>
    <row r="30" spans="1:20" x14ac:dyDescent="0.25">
      <c r="A30" s="4">
        <v>9</v>
      </c>
      <c r="B30" s="86"/>
      <c r="C30" s="87"/>
      <c r="D30" s="87">
        <v>9</v>
      </c>
      <c r="E30" s="103">
        <f t="shared" si="0"/>
        <v>9</v>
      </c>
      <c r="F30" s="86"/>
      <c r="G30" s="87"/>
      <c r="H30" s="87">
        <v>0.5</v>
      </c>
      <c r="I30" s="87"/>
      <c r="J30" s="103">
        <f t="shared" si="1"/>
        <v>0.5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0.5</v>
      </c>
      <c r="R30" s="91">
        <f t="shared" si="4"/>
        <v>9.5</v>
      </c>
      <c r="S30" s="98"/>
    </row>
    <row r="31" spans="1:20" x14ac:dyDescent="0.25">
      <c r="A31" s="4">
        <v>10</v>
      </c>
      <c r="B31" s="86"/>
      <c r="C31" s="87"/>
      <c r="D31" s="87"/>
      <c r="E31" s="103">
        <f t="shared" si="0"/>
        <v>0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0</v>
      </c>
      <c r="S31" s="98"/>
    </row>
    <row r="32" spans="1:20" x14ac:dyDescent="0.25">
      <c r="A32" s="4">
        <v>11</v>
      </c>
      <c r="B32" s="86"/>
      <c r="C32" s="87"/>
      <c r="D32" s="87"/>
      <c r="E32" s="103">
        <f t="shared" si="0"/>
        <v>0</v>
      </c>
      <c r="F32" s="86"/>
      <c r="G32" s="87"/>
      <c r="H32" s="87"/>
      <c r="I32" s="87"/>
      <c r="J32" s="103">
        <f t="shared" si="1"/>
        <v>0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</v>
      </c>
      <c r="R32" s="91">
        <f t="shared" si="4"/>
        <v>0</v>
      </c>
      <c r="S32" s="98"/>
    </row>
    <row r="33" spans="1:19" x14ac:dyDescent="0.25">
      <c r="A33" s="4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4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4">
        <v>14</v>
      </c>
      <c r="B35" s="86"/>
      <c r="C35" s="87"/>
      <c r="D35" s="87"/>
      <c r="E35" s="103">
        <f t="shared" si="0"/>
        <v>0</v>
      </c>
      <c r="F35" s="86"/>
      <c r="G35" s="87"/>
      <c r="H35" s="87"/>
      <c r="I35" s="87"/>
      <c r="J35" s="103">
        <f t="shared" si="1"/>
        <v>0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0</v>
      </c>
      <c r="R35" s="91">
        <f t="shared" si="4"/>
        <v>0</v>
      </c>
      <c r="S35" s="98"/>
    </row>
    <row r="36" spans="1:19" x14ac:dyDescent="0.25">
      <c r="A36" s="4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4">
        <v>16</v>
      </c>
      <c r="B37" s="86"/>
      <c r="C37" s="87"/>
      <c r="D37" s="87"/>
      <c r="E37" s="103">
        <f t="shared" si="0"/>
        <v>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0</v>
      </c>
      <c r="S37" s="98"/>
    </row>
    <row r="38" spans="1:19" x14ac:dyDescent="0.25">
      <c r="A38" s="4">
        <v>17</v>
      </c>
      <c r="B38" s="86"/>
      <c r="C38" s="87"/>
      <c r="D38" s="87"/>
      <c r="E38" s="103">
        <f t="shared" si="0"/>
        <v>0</v>
      </c>
      <c r="F38" s="86"/>
      <c r="G38" s="87"/>
      <c r="H38" s="87"/>
      <c r="I38" s="87"/>
      <c r="J38" s="103">
        <f t="shared" si="1"/>
        <v>0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0</v>
      </c>
      <c r="R38" s="91">
        <f t="shared" si="4"/>
        <v>0</v>
      </c>
      <c r="S38" s="98"/>
    </row>
    <row r="39" spans="1:19" x14ac:dyDescent="0.25">
      <c r="A39" s="4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4">
        <v>19</v>
      </c>
      <c r="B40" s="86"/>
      <c r="C40" s="87"/>
      <c r="D40" s="87"/>
      <c r="E40" s="103">
        <f t="shared" si="0"/>
        <v>0</v>
      </c>
      <c r="F40" s="86"/>
      <c r="G40" s="87"/>
      <c r="H40" s="87"/>
      <c r="I40" s="87"/>
      <c r="J40" s="103">
        <f t="shared" si="1"/>
        <v>0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</v>
      </c>
      <c r="R40" s="91">
        <f t="shared" si="4"/>
        <v>0</v>
      </c>
      <c r="S40" s="98"/>
    </row>
    <row r="41" spans="1:19" x14ac:dyDescent="0.25">
      <c r="A41" s="4">
        <v>20</v>
      </c>
      <c r="B41" s="86"/>
      <c r="C41" s="87"/>
      <c r="D41" s="87"/>
      <c r="E41" s="103">
        <f t="shared" si="0"/>
        <v>0</v>
      </c>
      <c r="F41" s="86"/>
      <c r="G41" s="87"/>
      <c r="H41" s="87"/>
      <c r="I41" s="87"/>
      <c r="J41" s="103">
        <f t="shared" si="1"/>
        <v>0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0</v>
      </c>
      <c r="R41" s="91">
        <f t="shared" si="4"/>
        <v>0</v>
      </c>
      <c r="S41" s="98"/>
    </row>
    <row r="42" spans="1:19" x14ac:dyDescent="0.25">
      <c r="A42" s="4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4">
        <v>22</v>
      </c>
      <c r="B43" s="86"/>
      <c r="C43" s="87"/>
      <c r="D43" s="87"/>
      <c r="E43" s="103">
        <f t="shared" si="0"/>
        <v>0</v>
      </c>
      <c r="F43" s="86"/>
      <c r="G43" s="87"/>
      <c r="H43" s="87"/>
      <c r="I43" s="87"/>
      <c r="J43" s="103">
        <f t="shared" si="1"/>
        <v>0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</v>
      </c>
      <c r="R43" s="91">
        <f t="shared" si="4"/>
        <v>0</v>
      </c>
      <c r="S43" s="98"/>
    </row>
    <row r="44" spans="1:19" x14ac:dyDescent="0.25">
      <c r="A44" s="4">
        <v>23</v>
      </c>
      <c r="B44" s="86"/>
      <c r="C44" s="87"/>
      <c r="D44" s="87">
        <v>10</v>
      </c>
      <c r="E44" s="103">
        <f t="shared" si="0"/>
        <v>10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10</v>
      </c>
      <c r="S44" s="98"/>
    </row>
    <row r="45" spans="1:19" x14ac:dyDescent="0.25">
      <c r="A45" s="4">
        <v>24</v>
      </c>
      <c r="B45" s="86"/>
      <c r="C45" s="87"/>
      <c r="D45" s="87"/>
      <c r="E45" s="103">
        <f t="shared" si="0"/>
        <v>0</v>
      </c>
      <c r="F45" s="86"/>
      <c r="G45" s="87"/>
      <c r="H45" s="87"/>
      <c r="I45" s="87"/>
      <c r="J45" s="103">
        <f t="shared" si="1"/>
        <v>0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0</v>
      </c>
      <c r="R45" s="91">
        <f t="shared" si="4"/>
        <v>0</v>
      </c>
      <c r="S45" s="98"/>
    </row>
    <row r="46" spans="1:19" x14ac:dyDescent="0.25">
      <c r="A46" s="4">
        <v>25</v>
      </c>
      <c r="B46" s="86"/>
      <c r="C46" s="87"/>
      <c r="D46" s="87"/>
      <c r="E46" s="103">
        <f t="shared" si="0"/>
        <v>0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0</v>
      </c>
      <c r="S46" s="98"/>
    </row>
    <row r="47" spans="1:19" x14ac:dyDescent="0.25">
      <c r="A47" s="4">
        <v>26</v>
      </c>
      <c r="B47" s="86"/>
      <c r="C47" s="87"/>
      <c r="D47" s="87"/>
      <c r="E47" s="103">
        <f t="shared" si="0"/>
        <v>0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0</v>
      </c>
      <c r="S47" s="98"/>
    </row>
    <row r="48" spans="1:19" x14ac:dyDescent="0.25">
      <c r="A48" s="4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4">
        <v>28</v>
      </c>
      <c r="B49" s="86"/>
      <c r="C49" s="87"/>
      <c r="D49" s="87"/>
      <c r="E49" s="103">
        <f t="shared" si="0"/>
        <v>0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0</v>
      </c>
      <c r="S49" s="98"/>
    </row>
    <row r="50" spans="1:19" x14ac:dyDescent="0.25">
      <c r="A50" s="4">
        <v>29</v>
      </c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4">
        <v>30</v>
      </c>
      <c r="B51" s="86"/>
      <c r="C51" s="87"/>
      <c r="D51" s="87"/>
      <c r="E51" s="103">
        <f t="shared" si="0"/>
        <v>0</v>
      </c>
      <c r="F51" s="86"/>
      <c r="G51" s="87"/>
      <c r="H51" s="87"/>
      <c r="I51" s="87"/>
      <c r="J51" s="103">
        <f t="shared" si="1"/>
        <v>0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0</v>
      </c>
      <c r="R51" s="91">
        <f t="shared" si="4"/>
        <v>0</v>
      </c>
      <c r="S51" s="98"/>
    </row>
    <row r="52" spans="1:19" ht="15.75" thickBot="1" x14ac:dyDescent="0.3">
      <c r="A52" s="5">
        <v>31</v>
      </c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ht="15.75" thickBot="1" x14ac:dyDescent="0.3">
      <c r="A53" s="25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19</v>
      </c>
      <c r="E53" s="170">
        <f>+SUM(E22:E52)</f>
        <v>19</v>
      </c>
      <c r="F53" s="168">
        <f t="shared" ref="F53:Q53" si="6">+SUM(F22:F52)</f>
        <v>0</v>
      </c>
      <c r="G53" s="169">
        <f t="shared" si="6"/>
        <v>0</v>
      </c>
      <c r="H53" s="169">
        <f t="shared" si="6"/>
        <v>0.5</v>
      </c>
      <c r="I53" s="169">
        <f t="shared" si="6"/>
        <v>0</v>
      </c>
      <c r="J53" s="170">
        <f t="shared" si="6"/>
        <v>0.5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 t="shared" si="6"/>
        <v>0</v>
      </c>
      <c r="Q53" s="173">
        <f t="shared" si="6"/>
        <v>0.5</v>
      </c>
      <c r="R53" s="174">
        <f>+SUM(R22:R52)</f>
        <v>19.5</v>
      </c>
      <c r="S53" s="175">
        <f>+E53+Q53</f>
        <v>19.5</v>
      </c>
    </row>
    <row r="54" spans="1:19" x14ac:dyDescent="0.25">
      <c r="A54" s="12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12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352" t="s">
        <v>111</v>
      </c>
      <c r="B56" s="353"/>
      <c r="C56" s="353"/>
      <c r="D56" s="353"/>
      <c r="E56" s="353"/>
      <c r="F56" s="353"/>
      <c r="G56" s="353"/>
      <c r="H56" s="353"/>
      <c r="I56" s="353"/>
      <c r="J56" s="353"/>
      <c r="K56" s="353"/>
      <c r="L56" s="353"/>
      <c r="M56" s="353"/>
      <c r="N56" s="353"/>
      <c r="O56" s="353"/>
      <c r="R56" s="90"/>
      <c r="S56" s="98"/>
    </row>
    <row r="57" spans="1:19" x14ac:dyDescent="0.25">
      <c r="A57" s="352"/>
      <c r="B57" s="353"/>
      <c r="C57" s="353"/>
      <c r="D57" s="353"/>
      <c r="E57" s="353"/>
      <c r="F57" s="353"/>
      <c r="G57" s="353"/>
      <c r="H57" s="353"/>
      <c r="I57" s="353"/>
      <c r="J57" s="353"/>
      <c r="K57" s="353"/>
      <c r="L57" s="353"/>
      <c r="M57" s="353"/>
      <c r="N57" s="353"/>
      <c r="O57" s="353"/>
      <c r="R57" s="90"/>
      <c r="S57" s="98"/>
    </row>
    <row r="58" spans="1:19" ht="15.75" thickBot="1" x14ac:dyDescent="0.3">
      <c r="A58" s="352"/>
      <c r="B58" s="353"/>
      <c r="C58" s="353"/>
      <c r="D58" s="353"/>
      <c r="E58" s="353"/>
      <c r="F58" s="353"/>
      <c r="G58" s="353"/>
      <c r="H58" s="353"/>
      <c r="I58" s="353"/>
      <c r="J58" s="353"/>
      <c r="K58" s="353"/>
      <c r="L58" s="353"/>
      <c r="M58" s="353"/>
      <c r="N58" s="353"/>
      <c r="O58" s="353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250">
        <v>33</v>
      </c>
      <c r="K59" s="251"/>
      <c r="L59" s="251"/>
      <c r="M59" s="251"/>
      <c r="N59" s="251"/>
      <c r="O59" s="252"/>
      <c r="R59" s="166"/>
      <c r="S59" s="142"/>
    </row>
    <row r="60" spans="1:19" ht="15.75" thickBot="1" x14ac:dyDescent="0.3">
      <c r="A60" s="362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257" t="s">
        <v>112</v>
      </c>
      <c r="J60" s="107"/>
      <c r="K60" s="259" t="s">
        <v>114</v>
      </c>
      <c r="L60" s="260"/>
      <c r="M60" s="260"/>
      <c r="N60" s="261"/>
      <c r="O60" s="262" t="s">
        <v>115</v>
      </c>
      <c r="R60" s="92"/>
      <c r="S60" s="98"/>
    </row>
    <row r="61" spans="1:19" ht="60.75" thickBot="1" x14ac:dyDescent="0.3">
      <c r="A61" s="363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337"/>
      <c r="J61" s="182" t="s">
        <v>121</v>
      </c>
      <c r="K61" s="112" t="s">
        <v>122</v>
      </c>
      <c r="L61" s="110" t="s">
        <v>123</v>
      </c>
      <c r="M61" s="110" t="s">
        <v>124</v>
      </c>
      <c r="N61" s="111" t="s">
        <v>125</v>
      </c>
      <c r="O61" s="338"/>
      <c r="R61" s="92"/>
      <c r="S61" s="98"/>
    </row>
    <row r="62" spans="1:19" x14ac:dyDescent="0.25">
      <c r="A62" s="45" t="s">
        <v>126</v>
      </c>
      <c r="B62" s="114">
        <f>+Enero!B62</f>
        <v>0</v>
      </c>
      <c r="C62" s="115">
        <f>+Enero!C62</f>
        <v>0</v>
      </c>
      <c r="D62" s="115">
        <f>+Enero!D62</f>
        <v>0</v>
      </c>
      <c r="E62" s="116">
        <f>+Enero!E62</f>
        <v>0</v>
      </c>
      <c r="F62" s="200">
        <f>+Enero!F62</f>
        <v>13.7</v>
      </c>
      <c r="G62" s="197">
        <f>SUM(B62:F62)</f>
        <v>13.7</v>
      </c>
      <c r="H62" s="92"/>
      <c r="I62" s="194" t="s">
        <v>126</v>
      </c>
      <c r="J62" s="49">
        <f>+Enero!J62</f>
        <v>0</v>
      </c>
      <c r="K62" s="50">
        <f>+Enero!K62</f>
        <v>0</v>
      </c>
      <c r="L62" s="50">
        <f>+Enero!L62</f>
        <v>0</v>
      </c>
      <c r="M62" s="50">
        <f>+Enero!M62</f>
        <v>0</v>
      </c>
      <c r="N62" s="51">
        <f>+Enero!N62</f>
        <v>100</v>
      </c>
      <c r="O62" s="196">
        <f t="shared" ref="O62:O67" si="7">SUM(J62:N62)/100</f>
        <v>1</v>
      </c>
      <c r="R62" s="92"/>
      <c r="S62" s="98"/>
    </row>
    <row r="63" spans="1:19" x14ac:dyDescent="0.25">
      <c r="A63" s="24" t="s">
        <v>131</v>
      </c>
      <c r="B63" s="122">
        <f>+Febrero!B63</f>
        <v>0</v>
      </c>
      <c r="C63" s="123">
        <f>+Febrero!C63</f>
        <v>0</v>
      </c>
      <c r="D63" s="123">
        <f>+Febrero!D63</f>
        <v>0</v>
      </c>
      <c r="E63" s="123">
        <f>+Febrero!E63</f>
        <v>0</v>
      </c>
      <c r="F63" s="124">
        <f>+Febrero!F63</f>
        <v>20.85</v>
      </c>
      <c r="G63" s="198">
        <f>+SUM(B63:F63)</f>
        <v>20.85</v>
      </c>
      <c r="H63" s="90"/>
      <c r="I63" s="195" t="s">
        <v>131</v>
      </c>
      <c r="J63" s="52">
        <f>+Febrero!J63</f>
        <v>0</v>
      </c>
      <c r="K63" s="47">
        <f>+Febrero!K63</f>
        <v>0</v>
      </c>
      <c r="L63" s="47">
        <f>+Febrero!L63</f>
        <v>0</v>
      </c>
      <c r="M63" s="47">
        <f>+Febrero!M63</f>
        <v>0</v>
      </c>
      <c r="N63" s="53">
        <f>+Febrero!N63</f>
        <v>100</v>
      </c>
      <c r="O63" s="190">
        <f t="shared" si="7"/>
        <v>1</v>
      </c>
      <c r="P63" s="90"/>
      <c r="Q63" s="90"/>
      <c r="R63" s="90"/>
      <c r="S63" s="98"/>
    </row>
    <row r="64" spans="1:19" x14ac:dyDescent="0.25">
      <c r="A64" s="24" t="s">
        <v>132</v>
      </c>
      <c r="B64" s="122">
        <f>+Marzo!B64</f>
        <v>0</v>
      </c>
      <c r="C64" s="123">
        <f>+Marzo!C64</f>
        <v>0</v>
      </c>
      <c r="D64" s="123">
        <f>+Marzo!D64</f>
        <v>0</v>
      </c>
      <c r="E64" s="123">
        <f>+Marzo!E64</f>
        <v>0</v>
      </c>
      <c r="F64" s="124">
        <f>+Marzo!F64</f>
        <v>21.9</v>
      </c>
      <c r="G64" s="198">
        <f t="shared" ref="G64:G68" si="8">+SUM(B64:F64)</f>
        <v>21.9</v>
      </c>
      <c r="H64" s="90"/>
      <c r="I64" s="195" t="s">
        <v>132</v>
      </c>
      <c r="J64" s="52">
        <f>+Marzo!J64</f>
        <v>0</v>
      </c>
      <c r="K64" s="47">
        <f>+Marzo!K64</f>
        <v>0</v>
      </c>
      <c r="L64" s="47">
        <f>+Marzo!L64</f>
        <v>0</v>
      </c>
      <c r="M64" s="47">
        <f>+Marzo!M64</f>
        <v>0</v>
      </c>
      <c r="N64" s="53">
        <f>+Marzo!N64</f>
        <v>100</v>
      </c>
      <c r="O64" s="190">
        <f t="shared" si="7"/>
        <v>1</v>
      </c>
      <c r="P64" s="90"/>
      <c r="Q64" s="90"/>
      <c r="R64" s="90"/>
      <c r="S64" s="98"/>
    </row>
    <row r="65" spans="1:19" x14ac:dyDescent="0.25">
      <c r="A65" s="24" t="s">
        <v>133</v>
      </c>
      <c r="B65" s="122">
        <f>+Abril!B65</f>
        <v>0</v>
      </c>
      <c r="C65" s="123">
        <f>+Abril!C65</f>
        <v>0</v>
      </c>
      <c r="D65" s="123">
        <f>+Abril!D65</f>
        <v>0</v>
      </c>
      <c r="E65" s="123">
        <f>+Abril!E65</f>
        <v>0</v>
      </c>
      <c r="F65" s="124">
        <f>+Abril!F65</f>
        <v>34.9</v>
      </c>
      <c r="G65" s="198">
        <f t="shared" si="8"/>
        <v>34.9</v>
      </c>
      <c r="H65" s="90"/>
      <c r="I65" s="195" t="s">
        <v>133</v>
      </c>
      <c r="J65" s="52">
        <f>+Abril!J65</f>
        <v>0</v>
      </c>
      <c r="K65" s="47">
        <f>+Abril!K65</f>
        <v>0</v>
      </c>
      <c r="L65" s="47">
        <f>+Abril!L65</f>
        <v>0</v>
      </c>
      <c r="M65" s="47">
        <f>+Abril!M65</f>
        <v>0</v>
      </c>
      <c r="N65" s="53">
        <f>+Abril!N65</f>
        <v>99.999999999999972</v>
      </c>
      <c r="O65" s="190">
        <f t="shared" si="7"/>
        <v>0.99999999999999967</v>
      </c>
      <c r="P65" s="90"/>
      <c r="Q65" s="90"/>
      <c r="R65" s="90"/>
      <c r="S65" s="98"/>
    </row>
    <row r="66" spans="1:19" x14ac:dyDescent="0.25">
      <c r="A66" s="24" t="s">
        <v>134</v>
      </c>
      <c r="B66" s="122">
        <f>+Mayo!B66</f>
        <v>0</v>
      </c>
      <c r="C66" s="123">
        <f>+Mayo!C66</f>
        <v>0</v>
      </c>
      <c r="D66" s="123">
        <f>+Mayo!D66</f>
        <v>0</v>
      </c>
      <c r="E66" s="123">
        <f>+Mayo!E66</f>
        <v>0</v>
      </c>
      <c r="F66" s="124">
        <f>+Mayo!F66</f>
        <v>17.5</v>
      </c>
      <c r="G66" s="198">
        <f t="shared" si="8"/>
        <v>17.5</v>
      </c>
      <c r="H66" s="90"/>
      <c r="I66" s="195" t="s">
        <v>134</v>
      </c>
      <c r="J66" s="52">
        <f>+Mayo!J66</f>
        <v>0</v>
      </c>
      <c r="K66" s="47">
        <f>+Mayo!K66</f>
        <v>0</v>
      </c>
      <c r="L66" s="47">
        <f>+Mayo!L66</f>
        <v>0</v>
      </c>
      <c r="M66" s="47">
        <f>+Mayo!M66</f>
        <v>0</v>
      </c>
      <c r="N66" s="53">
        <f>+Mayo!N66</f>
        <v>100</v>
      </c>
      <c r="O66" s="190">
        <f t="shared" si="7"/>
        <v>1</v>
      </c>
      <c r="P66" s="90"/>
      <c r="Q66" s="90"/>
      <c r="R66" s="90"/>
      <c r="S66" s="98"/>
    </row>
    <row r="67" spans="1:19" x14ac:dyDescent="0.25">
      <c r="A67" s="24" t="s">
        <v>135</v>
      </c>
      <c r="B67" s="122">
        <f>+Junio!B67</f>
        <v>0</v>
      </c>
      <c r="C67" s="123">
        <f>+Junio!C67</f>
        <v>0</v>
      </c>
      <c r="D67" s="123">
        <f>+Junio!D67</f>
        <v>0</v>
      </c>
      <c r="E67" s="123">
        <f>+Junio!E67</f>
        <v>0</v>
      </c>
      <c r="F67" s="124">
        <f>+Junio!F67</f>
        <v>20.8</v>
      </c>
      <c r="G67" s="198">
        <f t="shared" si="8"/>
        <v>20.8</v>
      </c>
      <c r="H67" s="90"/>
      <c r="I67" s="195" t="s">
        <v>135</v>
      </c>
      <c r="J67" s="52">
        <f>+Junio!J67</f>
        <v>0</v>
      </c>
      <c r="K67" s="47">
        <f>+Junio!K67</f>
        <v>0</v>
      </c>
      <c r="L67" s="47">
        <f>+Junio!L67</f>
        <v>0</v>
      </c>
      <c r="M67" s="47">
        <f>+Junio!M67</f>
        <v>0</v>
      </c>
      <c r="N67" s="53">
        <f>+Junio!N67</f>
        <v>100</v>
      </c>
      <c r="O67" s="190">
        <f t="shared" si="7"/>
        <v>1</v>
      </c>
      <c r="P67" s="90"/>
      <c r="Q67" s="90"/>
      <c r="R67" s="90"/>
      <c r="S67" s="98"/>
    </row>
    <row r="68" spans="1:19" ht="15.75" thickBot="1" x14ac:dyDescent="0.3">
      <c r="A68" s="36" t="s">
        <v>136</v>
      </c>
      <c r="B68" s="128">
        <v>0</v>
      </c>
      <c r="C68" s="129">
        <v>0</v>
      </c>
      <c r="D68" s="129">
        <v>0</v>
      </c>
      <c r="E68" s="129">
        <v>0</v>
      </c>
      <c r="F68" s="159">
        <v>19.5</v>
      </c>
      <c r="G68" s="199">
        <f t="shared" si="8"/>
        <v>19.5</v>
      </c>
      <c r="H68" s="90"/>
      <c r="I68" s="119" t="s">
        <v>136</v>
      </c>
      <c r="J68" s="72">
        <f>(B68/$R$53)*100</f>
        <v>0</v>
      </c>
      <c r="K68" s="38">
        <f>(C68/$R$53)*100</f>
        <v>0</v>
      </c>
      <c r="L68" s="38">
        <f>(D68/$R$53)*100</f>
        <v>0</v>
      </c>
      <c r="M68" s="38">
        <f>(E68/$R$53)*100</f>
        <v>0</v>
      </c>
      <c r="N68" s="54">
        <f>(F68/$R$53)*100</f>
        <v>100</v>
      </c>
      <c r="O68" s="191">
        <f>SUM(J68:N68)/100</f>
        <v>1</v>
      </c>
      <c r="P68" s="90"/>
      <c r="Q68" s="90"/>
      <c r="R68" s="90"/>
      <c r="S68" s="98"/>
    </row>
    <row r="69" spans="1:19" x14ac:dyDescent="0.25">
      <c r="A69" s="12"/>
      <c r="B69" s="130"/>
      <c r="C69" s="130"/>
      <c r="D69" s="130"/>
      <c r="E69" s="130"/>
      <c r="F69" s="130"/>
      <c r="G69" s="90"/>
      <c r="H69" s="90"/>
      <c r="J69" s="131"/>
      <c r="K69" s="90"/>
      <c r="L69" s="90"/>
      <c r="M69" s="90"/>
      <c r="N69" s="90"/>
      <c r="O69" s="90"/>
      <c r="P69" s="90"/>
      <c r="Q69" s="90"/>
      <c r="R69" s="90"/>
      <c r="S69" s="98"/>
    </row>
    <row r="70" spans="1:19" x14ac:dyDescent="0.25">
      <c r="A70" s="12"/>
      <c r="B70" s="90"/>
      <c r="C70" s="90"/>
      <c r="D70" s="90"/>
      <c r="E70" s="90"/>
      <c r="F70" s="90"/>
      <c r="G70" s="90"/>
      <c r="H70" s="90"/>
      <c r="I70" s="131" t="s">
        <v>127</v>
      </c>
      <c r="J70" s="131"/>
      <c r="K70" s="90"/>
      <c r="L70" s="90"/>
      <c r="M70" s="90"/>
      <c r="N70" s="90"/>
      <c r="O70" s="90"/>
      <c r="P70" s="90"/>
      <c r="Q70" s="90"/>
      <c r="R70" s="90"/>
      <c r="S70" s="98"/>
    </row>
    <row r="71" spans="1:19" x14ac:dyDescent="0.25">
      <c r="A71" s="12"/>
      <c r="B71" s="90"/>
      <c r="C71" s="90"/>
      <c r="D71" s="90"/>
      <c r="E71" s="90"/>
      <c r="F71" s="90"/>
      <c r="G71" s="90"/>
      <c r="H71" s="90"/>
      <c r="I71" s="131" t="s">
        <v>128</v>
      </c>
      <c r="J71" s="131"/>
      <c r="K71" s="90"/>
      <c r="L71" s="90"/>
      <c r="M71" s="90"/>
      <c r="N71" s="90"/>
      <c r="O71" s="90"/>
      <c r="P71" s="90"/>
      <c r="Q71" s="90"/>
      <c r="R71" s="90"/>
      <c r="S71" s="98"/>
    </row>
    <row r="72" spans="1:19" x14ac:dyDescent="0.25">
      <c r="A72" s="12"/>
      <c r="B72" s="90"/>
      <c r="C72" s="90"/>
      <c r="D72" s="90"/>
      <c r="E72" s="90"/>
      <c r="F72" s="90"/>
      <c r="G72" s="90"/>
      <c r="H72" s="90"/>
      <c r="I72" s="131" t="s">
        <v>129</v>
      </c>
      <c r="J72" s="131"/>
      <c r="K72" s="90"/>
      <c r="L72" s="90"/>
      <c r="M72" s="90"/>
      <c r="N72" s="90"/>
      <c r="O72" s="90"/>
      <c r="P72" s="90"/>
      <c r="Q72" s="90"/>
      <c r="R72" s="90"/>
      <c r="S72" s="98"/>
    </row>
    <row r="73" spans="1:19" ht="15.75" thickBot="1" x14ac:dyDescent="0.3">
      <c r="A73" s="41"/>
      <c r="B73" s="93"/>
      <c r="C73" s="93"/>
      <c r="D73" s="93"/>
      <c r="E73" s="93"/>
      <c r="F73" s="93"/>
      <c r="G73" s="93"/>
      <c r="H73" s="93"/>
      <c r="I73" s="133" t="s">
        <v>130</v>
      </c>
      <c r="J73" s="133"/>
      <c r="K73" s="93"/>
      <c r="L73" s="93"/>
      <c r="M73" s="93"/>
      <c r="N73" s="93"/>
      <c r="O73" s="93"/>
      <c r="P73" s="93"/>
      <c r="Q73" s="93"/>
      <c r="R73" s="93"/>
      <c r="S73" s="134"/>
    </row>
  </sheetData>
  <sheetProtection algorithmName="SHA-512" hashValue="F03wqdtwiM4joMdCtdhQ6h1YbrNXDZjirPW1OtGJd5veraHwrFY8lyTQwuUiE59Kjjp6THpbg9MT1PCe7od6AA==" saltValue="Q6s1qtaj6sTjLYL/CteMUw==" spinCount="100000" sheet="1" selectLockedCells="1"/>
  <mergeCells count="45">
    <mergeCell ref="J59:O59"/>
    <mergeCell ref="A60:A61"/>
    <mergeCell ref="B60:F60"/>
    <mergeCell ref="G60:G61"/>
    <mergeCell ref="I60:I61"/>
    <mergeCell ref="K60:N60"/>
    <mergeCell ref="O60:O61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68">
    <cfRule type="cellIs" dxfId="69" priority="8" operator="notEqual">
      <formula>$R$53</formula>
    </cfRule>
  </conditionalFormatting>
  <conditionalFormatting sqref="O62:O68">
    <cfRule type="cellIs" dxfId="68" priority="7" operator="notEqual">
      <formula>100%</formula>
    </cfRule>
  </conditionalFormatting>
  <pageMargins left="0.7" right="0.7" top="0.75" bottom="0.75" header="0.3" footer="0.3"/>
  <pageSetup paperSize="2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AAAF2CFB-0E1A-4E54-B190-F530944EC597}">
            <xm:f>Enero!R53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2" operator="notEqual" id="{F9FC7E42-4D6A-4037-8CD4-934C827A171D}">
            <xm:f>Febrero!R53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3" operator="notEqual" id="{7A1B85BE-AB9B-4FA6-BFBA-8E17742EBDD6}">
            <xm:f>Marzo!R53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4" operator="notEqual" id="{4C0501DA-509A-4B89-9E37-BDADDA166FC0}">
            <xm:f>Abril!R53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5" operator="notEqual" id="{FE8D086B-5336-4D9B-8FF9-A453B978AF32}">
            <xm:f>Mayo!R53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ellIs" priority="6" operator="notEqual" id="{166EB0B5-B39D-4BE2-B0E2-5072923B3EF3}">
            <xm:f>Junio!R53</xm:f>
            <x14:dxf>
              <fill>
                <patternFill>
                  <bgColor rgb="FFFF0000"/>
                </patternFill>
              </fill>
            </x14:dxf>
          </x14:cfRule>
          <xm:sqref>G67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E012-7FE6-474E-8AD0-AC65E0DE3CF8}">
  <dimension ref="A1:V74"/>
  <sheetViews>
    <sheetView showGridLines="0" zoomScale="70" zoomScaleNormal="70" workbookViewId="0">
      <selection activeCell="D10" sqref="D10:J10"/>
    </sheetView>
  </sheetViews>
  <sheetFormatPr baseColWidth="10" defaultColWidth="0" defaultRowHeight="15" customHeight="1" zeroHeight="1" x14ac:dyDescent="0.25"/>
  <cols>
    <col min="1" max="1" width="17.85546875" style="88" bestFit="1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4" style="88" bestFit="1" customWidth="1"/>
    <col min="19" max="19" width="11.42578125" style="88" customWidth="1"/>
    <col min="20" max="20" width="11.42578125" customWidth="1"/>
    <col min="21" max="21" width="9.42578125" hidden="1" customWidth="1"/>
    <col min="22" max="22" width="0" hidden="1" customWidth="1"/>
    <col min="23" max="16384" width="11.42578125" hidden="1"/>
  </cols>
  <sheetData>
    <row r="1" spans="1:19" x14ac:dyDescent="0.25">
      <c r="A1" s="310"/>
      <c r="B1" s="311"/>
      <c r="C1" s="311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12"/>
      <c r="B2" s="313"/>
      <c r="C2" s="313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12"/>
      <c r="B3" s="313"/>
      <c r="C3" s="313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12"/>
      <c r="B4" s="313"/>
      <c r="C4" s="313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12"/>
      <c r="B5" s="313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12"/>
      <c r="B6" s="313"/>
      <c r="C6" s="313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03" t="s">
        <v>81</v>
      </c>
      <c r="B7" s="304"/>
      <c r="C7" s="304"/>
      <c r="D7" s="305" t="s">
        <v>177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03" t="s">
        <v>83</v>
      </c>
      <c r="B8" s="304"/>
      <c r="C8" s="304"/>
      <c r="D8" s="305" t="s">
        <v>156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169</v>
      </c>
      <c r="O8" s="308"/>
      <c r="P8" s="308"/>
      <c r="Q8" s="308"/>
      <c r="R8" s="308"/>
      <c r="S8" s="309"/>
    </row>
    <row r="9" spans="1:19" x14ac:dyDescent="0.25">
      <c r="A9" s="303" t="s">
        <v>85</v>
      </c>
      <c r="B9" s="304"/>
      <c r="C9" s="304"/>
      <c r="D9" s="305" t="s">
        <v>157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166</v>
      </c>
      <c r="O9" s="308"/>
      <c r="P9" s="308"/>
      <c r="Q9" s="308"/>
      <c r="R9" s="308"/>
      <c r="S9" s="309"/>
    </row>
    <row r="10" spans="1:19" x14ac:dyDescent="0.25">
      <c r="A10" s="303" t="s">
        <v>87</v>
      </c>
      <c r="B10" s="304"/>
      <c r="C10" s="304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178</v>
      </c>
      <c r="O10" s="308"/>
      <c r="P10" s="308"/>
      <c r="Q10" s="308"/>
      <c r="R10" s="308"/>
      <c r="S10" s="309"/>
    </row>
    <row r="11" spans="1:19" x14ac:dyDescent="0.25">
      <c r="A11" s="266" t="s">
        <v>89</v>
      </c>
      <c r="B11" s="267"/>
      <c r="C11" s="267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97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97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274" t="s">
        <v>91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98"/>
    </row>
    <row r="17" spans="1:19" ht="15.75" thickBot="1" x14ac:dyDescent="0.3">
      <c r="A17" s="277"/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9"/>
      <c r="S17" s="98"/>
    </row>
    <row r="18" spans="1:19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19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</row>
    <row r="20" spans="1:19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</row>
    <row r="21" spans="1:19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</row>
    <row r="22" spans="1:19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19" x14ac:dyDescent="0.25">
      <c r="A23" s="4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19" x14ac:dyDescent="0.25">
      <c r="A24" s="4">
        <v>3</v>
      </c>
      <c r="B24" s="86"/>
      <c r="C24" s="87"/>
      <c r="D24" s="87"/>
      <c r="E24" s="103">
        <f t="shared" si="0"/>
        <v>0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0</v>
      </c>
      <c r="S24" s="98"/>
    </row>
    <row r="25" spans="1:19" x14ac:dyDescent="0.25">
      <c r="A25" s="4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19" x14ac:dyDescent="0.25">
      <c r="A26" s="4">
        <v>5</v>
      </c>
      <c r="B26" s="86"/>
      <c r="C26" s="87"/>
      <c r="D26" s="87"/>
      <c r="E26" s="103">
        <f t="shared" si="0"/>
        <v>0</v>
      </c>
      <c r="F26" s="86"/>
      <c r="G26" s="87"/>
      <c r="H26" s="87"/>
      <c r="I26" s="87"/>
      <c r="J26" s="103">
        <f t="shared" si="1"/>
        <v>0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</v>
      </c>
      <c r="R26" s="91">
        <f t="shared" si="4"/>
        <v>0</v>
      </c>
      <c r="S26" s="98"/>
    </row>
    <row r="27" spans="1:19" x14ac:dyDescent="0.25">
      <c r="A27" s="4">
        <v>6</v>
      </c>
      <c r="B27" s="86"/>
      <c r="C27" s="87"/>
      <c r="D27" s="87">
        <v>9.3000000000000007</v>
      </c>
      <c r="E27" s="103">
        <f t="shared" si="0"/>
        <v>9.3000000000000007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9.3000000000000007</v>
      </c>
      <c r="S27" s="98"/>
    </row>
    <row r="28" spans="1:19" x14ac:dyDescent="0.25">
      <c r="A28" s="4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19" x14ac:dyDescent="0.25">
      <c r="A29" s="4">
        <v>8</v>
      </c>
      <c r="B29" s="86"/>
      <c r="C29" s="87"/>
      <c r="D29" s="87"/>
      <c r="E29" s="103">
        <f t="shared" si="0"/>
        <v>0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0</v>
      </c>
      <c r="S29" s="98"/>
    </row>
    <row r="30" spans="1:19" x14ac:dyDescent="0.25">
      <c r="A30" s="4">
        <v>9</v>
      </c>
      <c r="B30" s="86"/>
      <c r="C30" s="87"/>
      <c r="D30" s="87"/>
      <c r="E30" s="103">
        <f t="shared" si="0"/>
        <v>0</v>
      </c>
      <c r="F30" s="86"/>
      <c r="G30" s="87"/>
      <c r="H30" s="87"/>
      <c r="I30" s="87"/>
      <c r="J30" s="103">
        <f t="shared" si="1"/>
        <v>0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</v>
      </c>
      <c r="R30" s="91">
        <f t="shared" si="4"/>
        <v>0</v>
      </c>
      <c r="S30" s="98"/>
    </row>
    <row r="31" spans="1:19" x14ac:dyDescent="0.25">
      <c r="A31" s="4">
        <v>10</v>
      </c>
      <c r="B31" s="86"/>
      <c r="C31" s="87"/>
      <c r="D31" s="87"/>
      <c r="E31" s="103">
        <f t="shared" si="0"/>
        <v>0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0</v>
      </c>
      <c r="S31" s="98"/>
    </row>
    <row r="32" spans="1:19" x14ac:dyDescent="0.25">
      <c r="A32" s="4">
        <v>11</v>
      </c>
      <c r="B32" s="86"/>
      <c r="C32" s="87"/>
      <c r="D32" s="87"/>
      <c r="E32" s="103">
        <f t="shared" si="0"/>
        <v>0</v>
      </c>
      <c r="F32" s="86"/>
      <c r="G32" s="87"/>
      <c r="H32" s="87"/>
      <c r="I32" s="87"/>
      <c r="J32" s="103">
        <f t="shared" si="1"/>
        <v>0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</v>
      </c>
      <c r="R32" s="91">
        <f t="shared" si="4"/>
        <v>0</v>
      </c>
      <c r="S32" s="98"/>
    </row>
    <row r="33" spans="1:19" x14ac:dyDescent="0.25">
      <c r="A33" s="4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4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4">
        <v>14</v>
      </c>
      <c r="B35" s="86"/>
      <c r="C35" s="87"/>
      <c r="D35" s="87"/>
      <c r="E35" s="103">
        <f t="shared" si="0"/>
        <v>0</v>
      </c>
      <c r="F35" s="86"/>
      <c r="G35" s="87"/>
      <c r="H35" s="87"/>
      <c r="I35" s="87"/>
      <c r="J35" s="103">
        <f t="shared" si="1"/>
        <v>0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0</v>
      </c>
      <c r="R35" s="91">
        <f t="shared" si="4"/>
        <v>0</v>
      </c>
      <c r="S35" s="98"/>
    </row>
    <row r="36" spans="1:19" x14ac:dyDescent="0.25">
      <c r="A36" s="4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4">
        <v>16</v>
      </c>
      <c r="B37" s="86"/>
      <c r="C37" s="87"/>
      <c r="D37" s="87"/>
      <c r="E37" s="103">
        <f t="shared" si="0"/>
        <v>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0</v>
      </c>
      <c r="S37" s="98"/>
    </row>
    <row r="38" spans="1:19" x14ac:dyDescent="0.25">
      <c r="A38" s="4">
        <v>17</v>
      </c>
      <c r="B38" s="86"/>
      <c r="C38" s="87"/>
      <c r="D38" s="87"/>
      <c r="E38" s="103">
        <f t="shared" si="0"/>
        <v>0</v>
      </c>
      <c r="F38" s="86"/>
      <c r="G38" s="87"/>
      <c r="H38" s="87"/>
      <c r="I38" s="87"/>
      <c r="J38" s="103">
        <f t="shared" si="1"/>
        <v>0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0</v>
      </c>
      <c r="R38" s="91">
        <f t="shared" si="4"/>
        <v>0</v>
      </c>
      <c r="S38" s="98"/>
    </row>
    <row r="39" spans="1:19" x14ac:dyDescent="0.25">
      <c r="A39" s="4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4">
        <v>19</v>
      </c>
      <c r="B40" s="86"/>
      <c r="C40" s="87"/>
      <c r="D40" s="87"/>
      <c r="E40" s="103">
        <f t="shared" si="0"/>
        <v>0</v>
      </c>
      <c r="F40" s="86"/>
      <c r="G40" s="87"/>
      <c r="H40" s="87"/>
      <c r="I40" s="87"/>
      <c r="J40" s="103">
        <f t="shared" si="1"/>
        <v>0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</v>
      </c>
      <c r="R40" s="91">
        <f t="shared" si="4"/>
        <v>0</v>
      </c>
      <c r="S40" s="98"/>
    </row>
    <row r="41" spans="1:19" x14ac:dyDescent="0.25">
      <c r="A41" s="4">
        <v>20</v>
      </c>
      <c r="B41" s="86"/>
      <c r="C41" s="87"/>
      <c r="D41" s="87">
        <v>7.2</v>
      </c>
      <c r="E41" s="103">
        <f t="shared" si="0"/>
        <v>7.2</v>
      </c>
      <c r="F41" s="86"/>
      <c r="G41" s="87"/>
      <c r="H41" s="87">
        <v>1</v>
      </c>
      <c r="I41" s="87"/>
      <c r="J41" s="103">
        <f t="shared" si="1"/>
        <v>1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1</v>
      </c>
      <c r="R41" s="91">
        <f t="shared" si="4"/>
        <v>8.1999999999999993</v>
      </c>
      <c r="S41" s="98"/>
    </row>
    <row r="42" spans="1:19" x14ac:dyDescent="0.25">
      <c r="A42" s="4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4">
        <v>22</v>
      </c>
      <c r="B43" s="86"/>
      <c r="C43" s="87"/>
      <c r="D43" s="87"/>
      <c r="E43" s="103">
        <f t="shared" si="0"/>
        <v>0</v>
      </c>
      <c r="F43" s="86"/>
      <c r="G43" s="87"/>
      <c r="H43" s="87"/>
      <c r="I43" s="87"/>
      <c r="J43" s="103">
        <f t="shared" si="1"/>
        <v>0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</v>
      </c>
      <c r="R43" s="91">
        <f t="shared" si="4"/>
        <v>0</v>
      </c>
      <c r="S43" s="98"/>
    </row>
    <row r="44" spans="1:19" x14ac:dyDescent="0.25">
      <c r="A44" s="4">
        <v>23</v>
      </c>
      <c r="B44" s="86"/>
      <c r="C44" s="87"/>
      <c r="D44" s="87"/>
      <c r="E44" s="103">
        <f t="shared" si="0"/>
        <v>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0</v>
      </c>
      <c r="S44" s="98"/>
    </row>
    <row r="45" spans="1:19" x14ac:dyDescent="0.25">
      <c r="A45" s="4">
        <v>24</v>
      </c>
      <c r="B45" s="86"/>
      <c r="C45" s="87"/>
      <c r="D45" s="87"/>
      <c r="E45" s="103">
        <f t="shared" si="0"/>
        <v>0</v>
      </c>
      <c r="F45" s="86"/>
      <c r="G45" s="87"/>
      <c r="H45" s="87"/>
      <c r="I45" s="87"/>
      <c r="J45" s="103">
        <f t="shared" si="1"/>
        <v>0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0</v>
      </c>
      <c r="R45" s="91">
        <f t="shared" si="4"/>
        <v>0</v>
      </c>
      <c r="S45" s="98"/>
    </row>
    <row r="46" spans="1:19" x14ac:dyDescent="0.25">
      <c r="A46" s="4">
        <v>25</v>
      </c>
      <c r="B46" s="86"/>
      <c r="C46" s="87"/>
      <c r="D46" s="87"/>
      <c r="E46" s="103">
        <f t="shared" si="0"/>
        <v>0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0</v>
      </c>
      <c r="S46" s="98"/>
    </row>
    <row r="47" spans="1:19" x14ac:dyDescent="0.25">
      <c r="A47" s="4">
        <v>26</v>
      </c>
      <c r="B47" s="86"/>
      <c r="C47" s="87"/>
      <c r="D47" s="87"/>
      <c r="E47" s="103">
        <f t="shared" si="0"/>
        <v>0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0</v>
      </c>
      <c r="S47" s="98"/>
    </row>
    <row r="48" spans="1:19" x14ac:dyDescent="0.25">
      <c r="A48" s="4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4">
        <v>28</v>
      </c>
      <c r="B49" s="86"/>
      <c r="C49" s="87"/>
      <c r="D49" s="87"/>
      <c r="E49" s="103">
        <f t="shared" si="0"/>
        <v>0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0</v>
      </c>
      <c r="S49" s="98"/>
    </row>
    <row r="50" spans="1:19" x14ac:dyDescent="0.25">
      <c r="A50" s="4">
        <v>29</v>
      </c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4">
        <v>30</v>
      </c>
      <c r="B51" s="86"/>
      <c r="C51" s="87"/>
      <c r="D51" s="87"/>
      <c r="E51" s="103">
        <f t="shared" si="0"/>
        <v>0</v>
      </c>
      <c r="F51" s="86"/>
      <c r="G51" s="87"/>
      <c r="H51" s="87"/>
      <c r="I51" s="87"/>
      <c r="J51" s="103">
        <f t="shared" si="1"/>
        <v>0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0</v>
      </c>
      <c r="R51" s="91">
        <f t="shared" si="4"/>
        <v>0</v>
      </c>
      <c r="S51" s="98"/>
    </row>
    <row r="52" spans="1:19" ht="15.75" thickBot="1" x14ac:dyDescent="0.3">
      <c r="A52" s="5"/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s="177" customFormat="1" ht="15.75" thickBot="1" x14ac:dyDescent="0.3">
      <c r="A53" s="176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16.5</v>
      </c>
      <c r="E53" s="170">
        <f>+SUM(E22:E52)</f>
        <v>16.5</v>
      </c>
      <c r="F53" s="168">
        <f t="shared" ref="F53:O53" si="6">+SUM(F22:F52)</f>
        <v>0</v>
      </c>
      <c r="G53" s="169">
        <f t="shared" si="6"/>
        <v>0</v>
      </c>
      <c r="H53" s="169">
        <f t="shared" si="6"/>
        <v>1</v>
      </c>
      <c r="I53" s="169">
        <f t="shared" si="6"/>
        <v>0</v>
      </c>
      <c r="J53" s="170">
        <f>(SUM(J22:J52))</f>
        <v>1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>+SUM(P22:P52)</f>
        <v>0</v>
      </c>
      <c r="Q53" s="173">
        <f>+SUM(Q22:Q52)</f>
        <v>1</v>
      </c>
      <c r="R53" s="174">
        <f>+SUM(R22:R52)</f>
        <v>17.5</v>
      </c>
      <c r="S53" s="175">
        <f>+E53+Q53</f>
        <v>17.5</v>
      </c>
    </row>
    <row r="54" spans="1:19" x14ac:dyDescent="0.25">
      <c r="A54" s="9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9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264" t="s">
        <v>111</v>
      </c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R56" s="90"/>
      <c r="S56" s="98"/>
    </row>
    <row r="57" spans="1:19" x14ac:dyDescent="0.25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R57" s="90"/>
      <c r="S57" s="98"/>
    </row>
    <row r="58" spans="1:19" ht="15.75" thickBot="1" x14ac:dyDescent="0.3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250">
        <v>33</v>
      </c>
      <c r="K59" s="251"/>
      <c r="L59" s="251"/>
      <c r="M59" s="251"/>
      <c r="N59" s="251"/>
      <c r="O59" s="252"/>
      <c r="R59" s="166"/>
      <c r="S59" s="142"/>
    </row>
    <row r="60" spans="1:19" ht="15.75" thickBot="1" x14ac:dyDescent="0.3">
      <c r="A60" s="248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257" t="s">
        <v>112</v>
      </c>
      <c r="J60" s="107"/>
      <c r="K60" s="259" t="s">
        <v>114</v>
      </c>
      <c r="L60" s="260"/>
      <c r="M60" s="260"/>
      <c r="N60" s="261"/>
      <c r="O60" s="262" t="s">
        <v>115</v>
      </c>
      <c r="R60" s="92"/>
      <c r="S60" s="98"/>
    </row>
    <row r="61" spans="1:19" ht="60.75" thickBot="1" x14ac:dyDescent="0.3">
      <c r="A61" s="336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337"/>
      <c r="J61" s="179" t="s">
        <v>121</v>
      </c>
      <c r="K61" s="112" t="s">
        <v>122</v>
      </c>
      <c r="L61" s="110" t="s">
        <v>123</v>
      </c>
      <c r="M61" s="110" t="s">
        <v>124</v>
      </c>
      <c r="N61" s="111" t="s">
        <v>125</v>
      </c>
      <c r="O61" s="338"/>
      <c r="R61" s="92"/>
      <c r="S61" s="98"/>
    </row>
    <row r="62" spans="1:19" x14ac:dyDescent="0.25">
      <c r="A62" s="113" t="s">
        <v>126</v>
      </c>
      <c r="B62" s="114">
        <f>+Enero!B62</f>
        <v>0</v>
      </c>
      <c r="C62" s="115">
        <f>+Enero!C62</f>
        <v>0</v>
      </c>
      <c r="D62" s="115">
        <f>+Enero!D62</f>
        <v>0</v>
      </c>
      <c r="E62" s="116">
        <f>+Enero!E62</f>
        <v>0</v>
      </c>
      <c r="F62" s="117">
        <f>+Enero!F62</f>
        <v>13.7</v>
      </c>
      <c r="G62" s="118">
        <f>SUM(B62:F62)</f>
        <v>13.7</v>
      </c>
      <c r="H62" s="92"/>
      <c r="I62" s="194" t="s">
        <v>126</v>
      </c>
      <c r="J62" s="49">
        <f>+Enero!J62</f>
        <v>0</v>
      </c>
      <c r="K62" s="50">
        <f>+Enero!K62</f>
        <v>0</v>
      </c>
      <c r="L62" s="50">
        <f>+Enero!L62</f>
        <v>0</v>
      </c>
      <c r="M62" s="50">
        <f>+Enero!M62</f>
        <v>0</v>
      </c>
      <c r="N62" s="51">
        <f>+Enero!N62</f>
        <v>100</v>
      </c>
      <c r="O62" s="196">
        <f t="shared" ref="O62:O68" si="7">SUM(J62:N62)/100</f>
        <v>1</v>
      </c>
      <c r="R62" s="92"/>
      <c r="S62" s="98"/>
    </row>
    <row r="63" spans="1:19" x14ac:dyDescent="0.25">
      <c r="A63" s="121" t="s">
        <v>131</v>
      </c>
      <c r="B63" s="122">
        <f>+Febrero!B63</f>
        <v>0</v>
      </c>
      <c r="C63" s="123">
        <f>+Febrero!C63</f>
        <v>0</v>
      </c>
      <c r="D63" s="123">
        <f>+Febrero!D63</f>
        <v>0</v>
      </c>
      <c r="E63" s="123">
        <f>+Febrero!E63</f>
        <v>0</v>
      </c>
      <c r="F63" s="123">
        <f>+Febrero!F63</f>
        <v>20.85</v>
      </c>
      <c r="G63" s="124">
        <f>+SUM(B63:F63)</f>
        <v>20.85</v>
      </c>
      <c r="H63" s="90"/>
      <c r="I63" s="195" t="s">
        <v>131</v>
      </c>
      <c r="J63" s="52">
        <f>+Febrero!J63</f>
        <v>0</v>
      </c>
      <c r="K63" s="47">
        <f>+Febrero!K63</f>
        <v>0</v>
      </c>
      <c r="L63" s="47">
        <f>+Febrero!L63</f>
        <v>0</v>
      </c>
      <c r="M63" s="47">
        <f>+Febrero!M63</f>
        <v>0</v>
      </c>
      <c r="N63" s="53">
        <f>+Febrero!N63</f>
        <v>100</v>
      </c>
      <c r="O63" s="190">
        <f t="shared" si="7"/>
        <v>1</v>
      </c>
      <c r="P63" s="90"/>
      <c r="Q63" s="90"/>
      <c r="R63" s="90"/>
      <c r="S63" s="98"/>
    </row>
    <row r="64" spans="1:19" x14ac:dyDescent="0.25">
      <c r="A64" s="121" t="s">
        <v>132</v>
      </c>
      <c r="B64" s="122">
        <f>+Marzo!B64</f>
        <v>0</v>
      </c>
      <c r="C64" s="123">
        <f>+Marzo!C64</f>
        <v>0</v>
      </c>
      <c r="D64" s="123">
        <f>+Marzo!D64</f>
        <v>0</v>
      </c>
      <c r="E64" s="123">
        <f>+Marzo!E64</f>
        <v>0</v>
      </c>
      <c r="F64" s="123">
        <f>+Marzo!F64</f>
        <v>21.9</v>
      </c>
      <c r="G64" s="124">
        <f t="shared" ref="G64:G69" si="8">+SUM(B64:F64)</f>
        <v>21.9</v>
      </c>
      <c r="H64" s="90"/>
      <c r="I64" s="195" t="s">
        <v>132</v>
      </c>
      <c r="J64" s="52">
        <f>+Marzo!J64</f>
        <v>0</v>
      </c>
      <c r="K64" s="47">
        <f>+Marzo!K64</f>
        <v>0</v>
      </c>
      <c r="L64" s="47">
        <f>+Marzo!L64</f>
        <v>0</v>
      </c>
      <c r="M64" s="47">
        <f>+Marzo!M64</f>
        <v>0</v>
      </c>
      <c r="N64" s="53">
        <f>+Marzo!N64</f>
        <v>100</v>
      </c>
      <c r="O64" s="190">
        <f t="shared" si="7"/>
        <v>1</v>
      </c>
      <c r="P64" s="90"/>
      <c r="Q64" s="90"/>
      <c r="R64" s="90"/>
      <c r="S64" s="98"/>
    </row>
    <row r="65" spans="1:19" x14ac:dyDescent="0.25">
      <c r="A65" s="121" t="s">
        <v>133</v>
      </c>
      <c r="B65" s="122">
        <f>+Abril!B65</f>
        <v>0</v>
      </c>
      <c r="C65" s="123">
        <f>+Abril!C65</f>
        <v>0</v>
      </c>
      <c r="D65" s="123">
        <f>+Abril!D65</f>
        <v>0</v>
      </c>
      <c r="E65" s="123">
        <f>+Abril!E65</f>
        <v>0</v>
      </c>
      <c r="F65" s="123">
        <f>+Abril!F65</f>
        <v>34.9</v>
      </c>
      <c r="G65" s="124">
        <f t="shared" si="8"/>
        <v>34.9</v>
      </c>
      <c r="H65" s="90"/>
      <c r="I65" s="195" t="s">
        <v>133</v>
      </c>
      <c r="J65" s="52">
        <f>+Abril!J65</f>
        <v>0</v>
      </c>
      <c r="K65" s="47">
        <f>+Abril!K65</f>
        <v>0</v>
      </c>
      <c r="L65" s="47">
        <f>+Abril!L65</f>
        <v>0</v>
      </c>
      <c r="M65" s="47">
        <f>+Abril!M65</f>
        <v>0</v>
      </c>
      <c r="N65" s="53">
        <f>+Abril!N65</f>
        <v>99.999999999999972</v>
      </c>
      <c r="O65" s="190">
        <f t="shared" si="7"/>
        <v>0.99999999999999967</v>
      </c>
      <c r="P65" s="90"/>
      <c r="Q65" s="90"/>
      <c r="R65" s="90"/>
      <c r="S65" s="98"/>
    </row>
    <row r="66" spans="1:19" x14ac:dyDescent="0.25">
      <c r="A66" s="121" t="s">
        <v>134</v>
      </c>
      <c r="B66" s="122">
        <f>+Mayo!B66</f>
        <v>0</v>
      </c>
      <c r="C66" s="123">
        <f>+Mayo!C66</f>
        <v>0</v>
      </c>
      <c r="D66" s="123">
        <f>+Mayo!D66</f>
        <v>0</v>
      </c>
      <c r="E66" s="123">
        <f>+Mayo!E66</f>
        <v>0</v>
      </c>
      <c r="F66" s="123">
        <f>+Mayo!F66</f>
        <v>17.5</v>
      </c>
      <c r="G66" s="124">
        <f t="shared" si="8"/>
        <v>17.5</v>
      </c>
      <c r="H66" s="90"/>
      <c r="I66" s="195" t="s">
        <v>134</v>
      </c>
      <c r="J66" s="52">
        <f>+Mayo!J66</f>
        <v>0</v>
      </c>
      <c r="K66" s="47">
        <f>+Mayo!K66</f>
        <v>0</v>
      </c>
      <c r="L66" s="47">
        <f>+Mayo!L66</f>
        <v>0</v>
      </c>
      <c r="M66" s="47">
        <f>+Mayo!M66</f>
        <v>0</v>
      </c>
      <c r="N66" s="53">
        <f>+Mayo!N66</f>
        <v>100</v>
      </c>
      <c r="O66" s="190">
        <f t="shared" si="7"/>
        <v>1</v>
      </c>
      <c r="P66" s="90"/>
      <c r="Q66" s="90"/>
      <c r="R66" s="90"/>
      <c r="S66" s="98"/>
    </row>
    <row r="67" spans="1:19" x14ac:dyDescent="0.25">
      <c r="A67" s="121" t="s">
        <v>135</v>
      </c>
      <c r="B67" s="122">
        <f>+Junio!B67</f>
        <v>0</v>
      </c>
      <c r="C67" s="123">
        <f>+Junio!C67</f>
        <v>0</v>
      </c>
      <c r="D67" s="123">
        <f>+Junio!D67</f>
        <v>0</v>
      </c>
      <c r="E67" s="123">
        <f>+Junio!E67</f>
        <v>0</v>
      </c>
      <c r="F67" s="123">
        <f>+Junio!F67</f>
        <v>20.8</v>
      </c>
      <c r="G67" s="124">
        <f t="shared" si="8"/>
        <v>20.8</v>
      </c>
      <c r="H67" s="90"/>
      <c r="I67" s="195" t="s">
        <v>135</v>
      </c>
      <c r="J67" s="52">
        <f>+Junio!J67</f>
        <v>0</v>
      </c>
      <c r="K67" s="47">
        <f>+Junio!K67</f>
        <v>0</v>
      </c>
      <c r="L67" s="47">
        <f>+Junio!L67</f>
        <v>0</v>
      </c>
      <c r="M67" s="47">
        <f>+Junio!M67</f>
        <v>0</v>
      </c>
      <c r="N67" s="53">
        <f>+Junio!N67</f>
        <v>100</v>
      </c>
      <c r="O67" s="190">
        <f t="shared" si="7"/>
        <v>1</v>
      </c>
      <c r="P67" s="90"/>
      <c r="Q67" s="90"/>
      <c r="R67" s="90"/>
      <c r="S67" s="98"/>
    </row>
    <row r="68" spans="1:19" x14ac:dyDescent="0.25">
      <c r="A68" s="121" t="s">
        <v>136</v>
      </c>
      <c r="B68" s="125">
        <f>+Julio!B68</f>
        <v>0</v>
      </c>
      <c r="C68" s="126">
        <f>+Julio!C68</f>
        <v>0</v>
      </c>
      <c r="D68" s="126">
        <f>+Julio!D68</f>
        <v>0</v>
      </c>
      <c r="E68" s="126">
        <f>+Julio!E68</f>
        <v>0</v>
      </c>
      <c r="F68" s="126">
        <f>+Julio!F68</f>
        <v>19.5</v>
      </c>
      <c r="G68" s="124">
        <f t="shared" si="8"/>
        <v>19.5</v>
      </c>
      <c r="H68" s="90"/>
      <c r="I68" s="195" t="s">
        <v>136</v>
      </c>
      <c r="J68" s="52">
        <f>+Julio!J68</f>
        <v>0</v>
      </c>
      <c r="K68" s="47">
        <f>+Julio!K68</f>
        <v>0</v>
      </c>
      <c r="L68" s="47">
        <f>+Julio!L68</f>
        <v>0</v>
      </c>
      <c r="M68" s="47">
        <f>+Julio!M68</f>
        <v>0</v>
      </c>
      <c r="N68" s="53">
        <f>+Julio!N68</f>
        <v>100</v>
      </c>
      <c r="O68" s="190">
        <f t="shared" si="7"/>
        <v>1</v>
      </c>
      <c r="P68" s="90"/>
      <c r="Q68" s="90"/>
      <c r="R68" s="90"/>
      <c r="S68" s="98"/>
    </row>
    <row r="69" spans="1:19" ht="15.75" thickBot="1" x14ac:dyDescent="0.3">
      <c r="A69" s="127" t="s">
        <v>137</v>
      </c>
      <c r="B69" s="128"/>
      <c r="C69" s="129">
        <v>0</v>
      </c>
      <c r="D69" s="129">
        <v>0</v>
      </c>
      <c r="E69" s="129">
        <v>0</v>
      </c>
      <c r="F69" s="129">
        <v>17.5</v>
      </c>
      <c r="G69" s="54">
        <f t="shared" si="8"/>
        <v>17.5</v>
      </c>
      <c r="H69" s="90"/>
      <c r="I69" s="119" t="s">
        <v>137</v>
      </c>
      <c r="J69" s="72">
        <f>(B69/$R$53)*100</f>
        <v>0</v>
      </c>
      <c r="K69" s="38">
        <f>(C69/$R$53)*100</f>
        <v>0</v>
      </c>
      <c r="L69" s="38">
        <f>(D69/$R$53)*100</f>
        <v>0</v>
      </c>
      <c r="M69" s="38">
        <f>(E69/$R$53)*100</f>
        <v>0</v>
      </c>
      <c r="N69" s="54">
        <f>(F69/$R$53)*100</f>
        <v>100</v>
      </c>
      <c r="O69" s="191">
        <f>SUM(J69:N69)/100</f>
        <v>1</v>
      </c>
      <c r="P69" s="90"/>
      <c r="Q69" s="90"/>
      <c r="R69" s="90"/>
      <c r="S69" s="98"/>
    </row>
    <row r="70" spans="1:19" x14ac:dyDescent="0.25">
      <c r="A70" s="97"/>
      <c r="B70" s="130"/>
      <c r="C70" s="130"/>
      <c r="D70" s="130"/>
      <c r="E70" s="130"/>
      <c r="F70" s="130"/>
      <c r="G70" s="90"/>
      <c r="H70" s="90"/>
      <c r="J70" s="131"/>
      <c r="K70" s="90"/>
      <c r="L70" s="90"/>
      <c r="M70" s="90"/>
      <c r="N70" s="90"/>
      <c r="O70" s="90"/>
      <c r="P70" s="90"/>
      <c r="Q70" s="90"/>
      <c r="R70" s="90"/>
      <c r="S70" s="98"/>
    </row>
    <row r="71" spans="1:19" x14ac:dyDescent="0.25">
      <c r="A71" s="97"/>
      <c r="B71" s="90"/>
      <c r="C71" s="90"/>
      <c r="D71" s="90"/>
      <c r="E71" s="90"/>
      <c r="F71" s="90"/>
      <c r="G71" s="90"/>
      <c r="H71" s="90"/>
      <c r="I71" s="131" t="s">
        <v>127</v>
      </c>
      <c r="J71" s="131"/>
      <c r="K71" s="90"/>
      <c r="L71" s="90"/>
      <c r="M71" s="90"/>
      <c r="N71" s="90"/>
      <c r="O71" s="90"/>
      <c r="P71" s="90"/>
      <c r="Q71" s="90"/>
      <c r="R71" s="90"/>
      <c r="S71" s="98"/>
    </row>
    <row r="72" spans="1:19" x14ac:dyDescent="0.25">
      <c r="A72" s="97"/>
      <c r="B72" s="90"/>
      <c r="C72" s="90"/>
      <c r="D72" s="90"/>
      <c r="E72" s="90"/>
      <c r="F72" s="90"/>
      <c r="G72" s="90"/>
      <c r="H72" s="90"/>
      <c r="I72" s="131" t="s">
        <v>128</v>
      </c>
      <c r="J72" s="131"/>
      <c r="K72" s="90"/>
      <c r="L72" s="90"/>
      <c r="M72" s="90"/>
      <c r="N72" s="90"/>
      <c r="O72" s="90"/>
      <c r="P72" s="90"/>
      <c r="Q72" s="90"/>
      <c r="R72" s="90"/>
      <c r="S72" s="98"/>
    </row>
    <row r="73" spans="1:19" x14ac:dyDescent="0.25">
      <c r="A73" s="97"/>
      <c r="B73" s="90"/>
      <c r="C73" s="90"/>
      <c r="D73" s="90"/>
      <c r="E73" s="90"/>
      <c r="F73" s="90"/>
      <c r="G73" s="90"/>
      <c r="H73" s="90"/>
      <c r="I73" s="131" t="s">
        <v>129</v>
      </c>
      <c r="J73" s="131"/>
      <c r="K73" s="90"/>
      <c r="L73" s="90"/>
      <c r="M73" s="90"/>
      <c r="N73" s="90"/>
      <c r="O73" s="90"/>
      <c r="P73" s="90"/>
      <c r="Q73" s="90"/>
      <c r="R73" s="90"/>
      <c r="S73" s="98"/>
    </row>
    <row r="74" spans="1:19" ht="15.75" thickBot="1" x14ac:dyDescent="0.3">
      <c r="A74" s="132"/>
      <c r="B74" s="93"/>
      <c r="C74" s="93"/>
      <c r="D74" s="93"/>
      <c r="E74" s="93"/>
      <c r="F74" s="93"/>
      <c r="G74" s="93"/>
      <c r="H74" s="93"/>
      <c r="I74" s="133" t="s">
        <v>130</v>
      </c>
      <c r="J74" s="133"/>
      <c r="K74" s="93"/>
      <c r="L74" s="93"/>
      <c r="M74" s="93"/>
      <c r="N74" s="93"/>
      <c r="O74" s="93"/>
      <c r="P74" s="93"/>
      <c r="Q74" s="93"/>
      <c r="R74" s="93"/>
      <c r="S74" s="134"/>
    </row>
  </sheetData>
  <sheetProtection algorithmName="SHA-512" hashValue="jkIJhq784EGqN2P9ENAGsZIIVgLPj/8Jf+/TyiBksKElIDy9gysPbV8tXvilv5vGVUl+LAmM7KerJK8XFA1drw==" saltValue="oEEvnY3S7uzLCmxbZJqrxQ==" spinCount="100000" sheet="1" selectLockedCells="1"/>
  <mergeCells count="45">
    <mergeCell ref="J59:O59"/>
    <mergeCell ref="A60:A61"/>
    <mergeCell ref="B60:F60"/>
    <mergeCell ref="G60:G61"/>
    <mergeCell ref="I60:I61"/>
    <mergeCell ref="K60:N60"/>
    <mergeCell ref="O60:O61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69">
    <cfRule type="cellIs" dxfId="60" priority="9" operator="notEqual">
      <formula>$R$53</formula>
    </cfRule>
  </conditionalFormatting>
  <conditionalFormatting sqref="O62:O69">
    <cfRule type="cellIs" dxfId="59" priority="8" operator="notEqual">
      <formula>100%</formula>
    </cfRule>
  </conditionalFormatting>
  <pageMargins left="0.7" right="0.7" top="0.75" bottom="0.75" header="0.3" footer="0.3"/>
  <pageSetup paperSize="281" orientation="portrait" r:id="rId1"/>
  <ignoredErrors>
    <ignoredError sqref="C68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E2D6CD75-F23D-4985-81C9-9803FC2A4E93}">
            <xm:f>Enero!R53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2" operator="notEqual" id="{B061054F-81C3-48DA-B092-323873260A6F}">
            <xm:f>Febrero!R53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3" operator="notEqual" id="{54A5BAE2-B209-4439-816D-103A6CC9C10A}">
            <xm:f>Marzo!R53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4" operator="notEqual" id="{C3039052-7812-48AE-BF61-17CEFB4F3378}">
            <xm:f>Abril!R53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5" operator="notEqual" id="{2B5E9C25-A186-4DAB-A0DD-89F6E2741FEC}">
            <xm:f>Mayo!R53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ellIs" priority="6" operator="notEqual" id="{82598047-F3DC-45B1-AA31-8F79B17D6EF8}">
            <xm:f>Junio!R53</xm:f>
            <x14:dxf>
              <fill>
                <patternFill>
                  <bgColor rgb="FFFF0000"/>
                </patternFill>
              </fill>
            </x14:dxf>
          </x14:cfRule>
          <xm:sqref>G67</xm:sqref>
        </x14:conditionalFormatting>
        <x14:conditionalFormatting xmlns:xm="http://schemas.microsoft.com/office/excel/2006/main">
          <x14:cfRule type="cellIs" priority="7" operator="notEqual" id="{59237866-16F5-4105-BA76-C2FA5AD84EE7}">
            <xm:f>Julio!R53</xm:f>
            <x14:dxf>
              <fill>
                <patternFill>
                  <bgColor rgb="FFFF0000"/>
                </patternFill>
              </fill>
            </x14:dxf>
          </x14:cfRule>
          <xm:sqref>G68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18AF-6A1A-4928-B550-A6EE2733D267}">
  <dimension ref="A1:V75"/>
  <sheetViews>
    <sheetView showGridLines="0" zoomScale="70" zoomScaleNormal="70" workbookViewId="0">
      <selection activeCell="D10" sqref="D10:J10"/>
    </sheetView>
  </sheetViews>
  <sheetFormatPr baseColWidth="10" defaultColWidth="0" defaultRowHeight="15" customHeight="1" zeroHeight="1" x14ac:dyDescent="0.25"/>
  <cols>
    <col min="1" max="1" width="17.85546875" style="88" bestFit="1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2.5703125" style="88" bestFit="1" customWidth="1"/>
    <col min="19" max="20" width="11.42578125" style="88" customWidth="1"/>
    <col min="21" max="21" width="9.42578125" style="88" hidden="1" customWidth="1"/>
    <col min="22" max="22" width="0" style="88" hidden="1" customWidth="1"/>
    <col min="23" max="16384" width="11.42578125" style="88" hidden="1"/>
  </cols>
  <sheetData>
    <row r="1" spans="1:19" x14ac:dyDescent="0.25">
      <c r="A1" s="310"/>
      <c r="B1" s="311"/>
      <c r="C1" s="311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12"/>
      <c r="B2" s="313"/>
      <c r="C2" s="313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12"/>
      <c r="B3" s="313"/>
      <c r="C3" s="313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12"/>
      <c r="B4" s="313"/>
      <c r="C4" s="313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12"/>
      <c r="B5" s="313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12"/>
      <c r="B6" s="313"/>
      <c r="C6" s="313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03" t="s">
        <v>81</v>
      </c>
      <c r="B7" s="304"/>
      <c r="C7" s="304"/>
      <c r="D7" s="305" t="s">
        <v>177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03" t="s">
        <v>83</v>
      </c>
      <c r="B8" s="304"/>
      <c r="C8" s="304"/>
      <c r="D8" s="305" t="s">
        <v>156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169</v>
      </c>
      <c r="O8" s="308"/>
      <c r="P8" s="308"/>
      <c r="Q8" s="308"/>
      <c r="R8" s="308"/>
      <c r="S8" s="309"/>
    </row>
    <row r="9" spans="1:19" x14ac:dyDescent="0.25">
      <c r="A9" s="303" t="s">
        <v>85</v>
      </c>
      <c r="B9" s="304"/>
      <c r="C9" s="304"/>
      <c r="D9" s="305" t="s">
        <v>157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161</v>
      </c>
      <c r="O9" s="308"/>
      <c r="P9" s="308"/>
      <c r="Q9" s="308"/>
      <c r="R9" s="308"/>
      <c r="S9" s="309"/>
    </row>
    <row r="10" spans="1:19" x14ac:dyDescent="0.25">
      <c r="A10" s="303" t="s">
        <v>87</v>
      </c>
      <c r="B10" s="304"/>
      <c r="C10" s="304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179</v>
      </c>
      <c r="O10" s="308"/>
      <c r="P10" s="308"/>
      <c r="Q10" s="308"/>
      <c r="R10" s="308"/>
      <c r="S10" s="309"/>
    </row>
    <row r="11" spans="1:19" x14ac:dyDescent="0.25">
      <c r="A11" s="266" t="s">
        <v>89</v>
      </c>
      <c r="B11" s="267"/>
      <c r="C11" s="267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97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97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274" t="s">
        <v>91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98"/>
    </row>
    <row r="17" spans="1:19" ht="15.75" thickBot="1" x14ac:dyDescent="0.3">
      <c r="A17" s="277"/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9"/>
      <c r="S17" s="98"/>
    </row>
    <row r="18" spans="1:19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19" customFormat="1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</row>
    <row r="20" spans="1:19" customFormat="1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</row>
    <row r="21" spans="1:19" customFormat="1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</row>
    <row r="22" spans="1:19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19" x14ac:dyDescent="0.25">
      <c r="A23" s="4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19" x14ac:dyDescent="0.25">
      <c r="A24" s="4">
        <v>3</v>
      </c>
      <c r="B24" s="86"/>
      <c r="C24" s="87"/>
      <c r="D24" s="87">
        <v>11</v>
      </c>
      <c r="E24" s="103">
        <f t="shared" si="0"/>
        <v>11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11</v>
      </c>
      <c r="S24" s="98"/>
    </row>
    <row r="25" spans="1:19" x14ac:dyDescent="0.25">
      <c r="A25" s="4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19" x14ac:dyDescent="0.25">
      <c r="A26" s="4">
        <v>5</v>
      </c>
      <c r="B26" s="86"/>
      <c r="C26" s="87"/>
      <c r="D26" s="87"/>
      <c r="E26" s="103">
        <f t="shared" si="0"/>
        <v>0</v>
      </c>
      <c r="F26" s="86"/>
      <c r="G26" s="87"/>
      <c r="H26" s="87"/>
      <c r="I26" s="87"/>
      <c r="J26" s="103">
        <f t="shared" si="1"/>
        <v>0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</v>
      </c>
      <c r="R26" s="91">
        <f t="shared" si="4"/>
        <v>0</v>
      </c>
      <c r="S26" s="98"/>
    </row>
    <row r="27" spans="1:19" x14ac:dyDescent="0.25">
      <c r="A27" s="4">
        <v>6</v>
      </c>
      <c r="B27" s="86"/>
      <c r="C27" s="87"/>
      <c r="D27" s="87"/>
      <c r="E27" s="103">
        <f t="shared" si="0"/>
        <v>0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0</v>
      </c>
      <c r="S27" s="98"/>
    </row>
    <row r="28" spans="1:19" x14ac:dyDescent="0.25">
      <c r="A28" s="4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19" x14ac:dyDescent="0.25">
      <c r="A29" s="4">
        <v>8</v>
      </c>
      <c r="B29" s="86"/>
      <c r="C29" s="87"/>
      <c r="D29" s="87"/>
      <c r="E29" s="103">
        <f t="shared" si="0"/>
        <v>0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0</v>
      </c>
      <c r="S29" s="98"/>
    </row>
    <row r="30" spans="1:19" x14ac:dyDescent="0.25">
      <c r="A30" s="4">
        <v>9</v>
      </c>
      <c r="B30" s="86"/>
      <c r="C30" s="87"/>
      <c r="D30" s="87"/>
      <c r="E30" s="103">
        <f t="shared" si="0"/>
        <v>0</v>
      </c>
      <c r="F30" s="86"/>
      <c r="G30" s="87"/>
      <c r="H30" s="87"/>
      <c r="I30" s="87"/>
      <c r="J30" s="103">
        <f t="shared" si="1"/>
        <v>0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</v>
      </c>
      <c r="R30" s="91">
        <f t="shared" si="4"/>
        <v>0</v>
      </c>
      <c r="S30" s="98"/>
    </row>
    <row r="31" spans="1:19" x14ac:dyDescent="0.25">
      <c r="A31" s="4">
        <v>10</v>
      </c>
      <c r="B31" s="86"/>
      <c r="C31" s="87"/>
      <c r="D31" s="87"/>
      <c r="E31" s="103">
        <f t="shared" si="0"/>
        <v>0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0</v>
      </c>
      <c r="S31" s="98"/>
    </row>
    <row r="32" spans="1:19" x14ac:dyDescent="0.25">
      <c r="A32" s="4">
        <v>11</v>
      </c>
      <c r="B32" s="86"/>
      <c r="C32" s="87"/>
      <c r="D32" s="87"/>
      <c r="E32" s="103">
        <f t="shared" si="0"/>
        <v>0</v>
      </c>
      <c r="F32" s="86"/>
      <c r="G32" s="87"/>
      <c r="H32" s="87"/>
      <c r="I32" s="87"/>
      <c r="J32" s="103">
        <f t="shared" si="1"/>
        <v>0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</v>
      </c>
      <c r="R32" s="91">
        <f t="shared" si="4"/>
        <v>0</v>
      </c>
      <c r="S32" s="98"/>
    </row>
    <row r="33" spans="1:19" x14ac:dyDescent="0.25">
      <c r="A33" s="4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4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4">
        <v>14</v>
      </c>
      <c r="B35" s="86"/>
      <c r="C35" s="87"/>
      <c r="D35" s="87"/>
      <c r="E35" s="103">
        <f t="shared" si="0"/>
        <v>0</v>
      </c>
      <c r="F35" s="86"/>
      <c r="G35" s="87"/>
      <c r="H35" s="87"/>
      <c r="I35" s="87"/>
      <c r="J35" s="103">
        <f t="shared" si="1"/>
        <v>0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0</v>
      </c>
      <c r="R35" s="91">
        <f t="shared" si="4"/>
        <v>0</v>
      </c>
      <c r="S35" s="98"/>
    </row>
    <row r="36" spans="1:19" x14ac:dyDescent="0.25">
      <c r="A36" s="4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4">
        <v>16</v>
      </c>
      <c r="B37" s="86"/>
      <c r="C37" s="87"/>
      <c r="D37" s="87"/>
      <c r="E37" s="103">
        <f t="shared" si="0"/>
        <v>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0</v>
      </c>
      <c r="S37" s="98"/>
    </row>
    <row r="38" spans="1:19" x14ac:dyDescent="0.25">
      <c r="A38" s="4">
        <v>17</v>
      </c>
      <c r="B38" s="86"/>
      <c r="C38" s="87"/>
      <c r="D38" s="87">
        <v>12</v>
      </c>
      <c r="E38" s="103">
        <f t="shared" si="0"/>
        <v>12</v>
      </c>
      <c r="F38" s="86"/>
      <c r="G38" s="87"/>
      <c r="H38" s="87">
        <v>1</v>
      </c>
      <c r="I38" s="87"/>
      <c r="J38" s="103">
        <f t="shared" si="1"/>
        <v>1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1</v>
      </c>
      <c r="R38" s="91">
        <f t="shared" si="4"/>
        <v>13</v>
      </c>
      <c r="S38" s="98"/>
    </row>
    <row r="39" spans="1:19" x14ac:dyDescent="0.25">
      <c r="A39" s="4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4">
        <v>19</v>
      </c>
      <c r="B40" s="86"/>
      <c r="C40" s="87"/>
      <c r="D40" s="87"/>
      <c r="E40" s="103">
        <f t="shared" si="0"/>
        <v>0</v>
      </c>
      <c r="F40" s="86"/>
      <c r="G40" s="87"/>
      <c r="H40" s="87"/>
      <c r="I40" s="87"/>
      <c r="J40" s="103">
        <f t="shared" si="1"/>
        <v>0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</v>
      </c>
      <c r="R40" s="91">
        <f t="shared" si="4"/>
        <v>0</v>
      </c>
      <c r="S40" s="98"/>
    </row>
    <row r="41" spans="1:19" x14ac:dyDescent="0.25">
      <c r="A41" s="4">
        <v>20</v>
      </c>
      <c r="B41" s="86"/>
      <c r="C41" s="87"/>
      <c r="D41" s="87"/>
      <c r="E41" s="103">
        <f t="shared" si="0"/>
        <v>0</v>
      </c>
      <c r="F41" s="86"/>
      <c r="G41" s="87"/>
      <c r="H41" s="87"/>
      <c r="I41" s="87"/>
      <c r="J41" s="103">
        <f t="shared" si="1"/>
        <v>0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0</v>
      </c>
      <c r="R41" s="91">
        <f t="shared" si="4"/>
        <v>0</v>
      </c>
      <c r="S41" s="98"/>
    </row>
    <row r="42" spans="1:19" x14ac:dyDescent="0.25">
      <c r="A42" s="4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4">
        <v>22</v>
      </c>
      <c r="B43" s="86"/>
      <c r="C43" s="87"/>
      <c r="D43" s="87"/>
      <c r="E43" s="103">
        <f t="shared" si="0"/>
        <v>0</v>
      </c>
      <c r="F43" s="86"/>
      <c r="G43" s="87"/>
      <c r="H43" s="87"/>
      <c r="I43" s="87"/>
      <c r="J43" s="103">
        <f t="shared" si="1"/>
        <v>0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</v>
      </c>
      <c r="R43" s="91">
        <f t="shared" si="4"/>
        <v>0</v>
      </c>
      <c r="S43" s="98"/>
    </row>
    <row r="44" spans="1:19" x14ac:dyDescent="0.25">
      <c r="A44" s="4">
        <v>23</v>
      </c>
      <c r="B44" s="86"/>
      <c r="C44" s="87"/>
      <c r="D44" s="87"/>
      <c r="E44" s="103">
        <f t="shared" si="0"/>
        <v>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0</v>
      </c>
      <c r="S44" s="98"/>
    </row>
    <row r="45" spans="1:19" x14ac:dyDescent="0.25">
      <c r="A45" s="4">
        <v>24</v>
      </c>
      <c r="B45" s="86"/>
      <c r="C45" s="87"/>
      <c r="D45" s="87"/>
      <c r="E45" s="103">
        <f t="shared" si="0"/>
        <v>0</v>
      </c>
      <c r="F45" s="86"/>
      <c r="G45" s="87"/>
      <c r="H45" s="87"/>
      <c r="I45" s="87"/>
      <c r="J45" s="103">
        <f t="shared" si="1"/>
        <v>0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0</v>
      </c>
      <c r="R45" s="91">
        <f t="shared" si="4"/>
        <v>0</v>
      </c>
      <c r="S45" s="98"/>
    </row>
    <row r="46" spans="1:19" x14ac:dyDescent="0.25">
      <c r="A46" s="4">
        <v>25</v>
      </c>
      <c r="B46" s="86"/>
      <c r="C46" s="87"/>
      <c r="D46" s="87"/>
      <c r="E46" s="103">
        <f t="shared" si="0"/>
        <v>0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0</v>
      </c>
      <c r="S46" s="98"/>
    </row>
    <row r="47" spans="1:19" x14ac:dyDescent="0.25">
      <c r="A47" s="4">
        <v>26</v>
      </c>
      <c r="B47" s="86"/>
      <c r="C47" s="87"/>
      <c r="D47" s="87"/>
      <c r="E47" s="103">
        <f t="shared" si="0"/>
        <v>0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0</v>
      </c>
      <c r="S47" s="98"/>
    </row>
    <row r="48" spans="1:19" x14ac:dyDescent="0.25">
      <c r="A48" s="4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4">
        <v>28</v>
      </c>
      <c r="B49" s="86"/>
      <c r="C49" s="87"/>
      <c r="D49" s="87"/>
      <c r="E49" s="103">
        <f t="shared" si="0"/>
        <v>0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0</v>
      </c>
      <c r="S49" s="98"/>
    </row>
    <row r="50" spans="1:19" x14ac:dyDescent="0.25">
      <c r="A50" s="4">
        <v>29</v>
      </c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4">
        <v>30</v>
      </c>
      <c r="B51" s="86"/>
      <c r="C51" s="87"/>
      <c r="D51" s="87"/>
      <c r="E51" s="103">
        <f t="shared" si="0"/>
        <v>0</v>
      </c>
      <c r="F51" s="86"/>
      <c r="G51" s="87"/>
      <c r="H51" s="87"/>
      <c r="I51" s="87"/>
      <c r="J51" s="103">
        <f t="shared" si="1"/>
        <v>0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0</v>
      </c>
      <c r="R51" s="91">
        <f t="shared" si="4"/>
        <v>0</v>
      </c>
      <c r="S51" s="98"/>
    </row>
    <row r="52" spans="1:19" ht="15.75" thickBot="1" x14ac:dyDescent="0.3">
      <c r="A52" s="5"/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s="177" customFormat="1" ht="15.75" thickBot="1" x14ac:dyDescent="0.3">
      <c r="A53" s="176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23</v>
      </c>
      <c r="E53" s="170">
        <f>+SUM(E22:E52)</f>
        <v>23</v>
      </c>
      <c r="F53" s="168">
        <f t="shared" ref="F53:Q53" si="6">+SUM(F22:F52)</f>
        <v>0</v>
      </c>
      <c r="G53" s="169">
        <f t="shared" si="6"/>
        <v>0</v>
      </c>
      <c r="H53" s="169">
        <f t="shared" si="6"/>
        <v>1</v>
      </c>
      <c r="I53" s="169">
        <f t="shared" si="6"/>
        <v>0</v>
      </c>
      <c r="J53" s="170">
        <f t="shared" si="6"/>
        <v>1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 t="shared" si="6"/>
        <v>0</v>
      </c>
      <c r="Q53" s="173">
        <f t="shared" si="6"/>
        <v>1</v>
      </c>
      <c r="R53" s="174">
        <f>+SUM(R22:R52)</f>
        <v>24</v>
      </c>
      <c r="S53" s="175">
        <f>+E53+Q53</f>
        <v>24</v>
      </c>
    </row>
    <row r="54" spans="1:19" x14ac:dyDescent="0.25">
      <c r="A54" s="9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9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264" t="s">
        <v>111</v>
      </c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R56" s="90"/>
      <c r="S56" s="98"/>
    </row>
    <row r="57" spans="1:19" x14ac:dyDescent="0.25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R57" s="90"/>
      <c r="S57" s="98"/>
    </row>
    <row r="58" spans="1:19" ht="15.75" thickBot="1" x14ac:dyDescent="0.3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250">
        <v>33</v>
      </c>
      <c r="K59" s="251"/>
      <c r="L59" s="251"/>
      <c r="M59" s="251"/>
      <c r="N59" s="251"/>
      <c r="O59" s="252"/>
      <c r="R59" s="166"/>
      <c r="S59" s="142"/>
    </row>
    <row r="60" spans="1:19" ht="15.75" thickBot="1" x14ac:dyDescent="0.3">
      <c r="A60" s="248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257" t="s">
        <v>112</v>
      </c>
      <c r="J60" s="107"/>
      <c r="K60" s="259" t="s">
        <v>114</v>
      </c>
      <c r="L60" s="260"/>
      <c r="M60" s="260"/>
      <c r="N60" s="261"/>
      <c r="O60" s="262" t="s">
        <v>115</v>
      </c>
      <c r="R60" s="92"/>
      <c r="S60" s="98"/>
    </row>
    <row r="61" spans="1:19" ht="60.75" thickBot="1" x14ac:dyDescent="0.3">
      <c r="A61" s="336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337"/>
      <c r="J61" s="179" t="s">
        <v>121</v>
      </c>
      <c r="K61" s="112" t="s">
        <v>122</v>
      </c>
      <c r="L61" s="110" t="s">
        <v>123</v>
      </c>
      <c r="M61" s="110" t="s">
        <v>124</v>
      </c>
      <c r="N61" s="111" t="s">
        <v>125</v>
      </c>
      <c r="O61" s="338"/>
      <c r="R61" s="92"/>
      <c r="S61" s="98"/>
    </row>
    <row r="62" spans="1:19" x14ac:dyDescent="0.25">
      <c r="A62" s="113" t="s">
        <v>126</v>
      </c>
      <c r="B62" s="114">
        <f>+Enero!B62</f>
        <v>0</v>
      </c>
      <c r="C62" s="115">
        <f>+Enero!C62</f>
        <v>0</v>
      </c>
      <c r="D62" s="115">
        <f>+Enero!D62</f>
        <v>0</v>
      </c>
      <c r="E62" s="116">
        <f>+Enero!E62</f>
        <v>0</v>
      </c>
      <c r="F62" s="200">
        <f>+Enero!F62</f>
        <v>13.7</v>
      </c>
      <c r="G62" s="197">
        <f>SUM(B62:F62)</f>
        <v>13.7</v>
      </c>
      <c r="H62" s="92"/>
      <c r="I62" s="194" t="s">
        <v>126</v>
      </c>
      <c r="J62" s="49">
        <f>+Enero!J62</f>
        <v>0</v>
      </c>
      <c r="K62" s="50">
        <f>+Enero!K62</f>
        <v>0</v>
      </c>
      <c r="L62" s="50">
        <f>+Enero!L62</f>
        <v>0</v>
      </c>
      <c r="M62" s="50">
        <f>+Enero!M62</f>
        <v>0</v>
      </c>
      <c r="N62" s="51">
        <f>+Enero!N62</f>
        <v>100</v>
      </c>
      <c r="O62" s="196">
        <f t="shared" ref="O62:O69" si="7">SUM(J62:N62)/100</f>
        <v>1</v>
      </c>
      <c r="R62" s="92"/>
      <c r="S62" s="98"/>
    </row>
    <row r="63" spans="1:19" x14ac:dyDescent="0.25">
      <c r="A63" s="121" t="s">
        <v>131</v>
      </c>
      <c r="B63" s="122">
        <f>+Febrero!B63</f>
        <v>0</v>
      </c>
      <c r="C63" s="123">
        <f>+Febrero!C63</f>
        <v>0</v>
      </c>
      <c r="D63" s="123">
        <f>+Febrero!D63</f>
        <v>0</v>
      </c>
      <c r="E63" s="123">
        <f>+Febrero!E63</f>
        <v>0</v>
      </c>
      <c r="F63" s="124">
        <f>+Febrero!F63</f>
        <v>20.85</v>
      </c>
      <c r="G63" s="198">
        <f>+SUM(B63:F63)</f>
        <v>20.85</v>
      </c>
      <c r="H63" s="90"/>
      <c r="I63" s="195" t="s">
        <v>131</v>
      </c>
      <c r="J63" s="52">
        <f>+Febrero!J63</f>
        <v>0</v>
      </c>
      <c r="K63" s="47">
        <f>+Febrero!K63</f>
        <v>0</v>
      </c>
      <c r="L63" s="47">
        <f>+Febrero!L63</f>
        <v>0</v>
      </c>
      <c r="M63" s="47">
        <f>+Febrero!M63</f>
        <v>0</v>
      </c>
      <c r="N63" s="53">
        <f>+Febrero!N63</f>
        <v>100</v>
      </c>
      <c r="O63" s="190">
        <f t="shared" si="7"/>
        <v>1</v>
      </c>
      <c r="P63" s="90"/>
      <c r="Q63" s="90"/>
      <c r="R63" s="90"/>
      <c r="S63" s="98"/>
    </row>
    <row r="64" spans="1:19" x14ac:dyDescent="0.25">
      <c r="A64" s="121" t="s">
        <v>132</v>
      </c>
      <c r="B64" s="122">
        <f>+Marzo!B64</f>
        <v>0</v>
      </c>
      <c r="C64" s="123">
        <f>+Marzo!C64</f>
        <v>0</v>
      </c>
      <c r="D64" s="123">
        <f>+Marzo!D64</f>
        <v>0</v>
      </c>
      <c r="E64" s="123">
        <f>+Marzo!E64</f>
        <v>0</v>
      </c>
      <c r="F64" s="124">
        <f>+Marzo!F64</f>
        <v>21.9</v>
      </c>
      <c r="G64" s="198">
        <f t="shared" ref="G64:G70" si="8">+SUM(B64:F64)</f>
        <v>21.9</v>
      </c>
      <c r="H64" s="90"/>
      <c r="I64" s="195" t="s">
        <v>132</v>
      </c>
      <c r="J64" s="52">
        <f>+Marzo!J64</f>
        <v>0</v>
      </c>
      <c r="K64" s="47">
        <f>+Marzo!K64</f>
        <v>0</v>
      </c>
      <c r="L64" s="47">
        <f>+Marzo!L64</f>
        <v>0</v>
      </c>
      <c r="M64" s="47">
        <f>+Marzo!M64</f>
        <v>0</v>
      </c>
      <c r="N64" s="53">
        <f>+Marzo!N64</f>
        <v>100</v>
      </c>
      <c r="O64" s="190">
        <f t="shared" si="7"/>
        <v>1</v>
      </c>
      <c r="P64" s="90"/>
      <c r="Q64" s="90"/>
      <c r="R64" s="90"/>
      <c r="S64" s="98"/>
    </row>
    <row r="65" spans="1:19" x14ac:dyDescent="0.25">
      <c r="A65" s="121" t="s">
        <v>133</v>
      </c>
      <c r="B65" s="122">
        <f>+Abril!B65</f>
        <v>0</v>
      </c>
      <c r="C65" s="123">
        <f>+Abril!C65</f>
        <v>0</v>
      </c>
      <c r="D65" s="123">
        <f>+Abril!D65</f>
        <v>0</v>
      </c>
      <c r="E65" s="123">
        <f>+Abril!E65</f>
        <v>0</v>
      </c>
      <c r="F65" s="124">
        <f>+Abril!F65</f>
        <v>34.9</v>
      </c>
      <c r="G65" s="198">
        <f t="shared" si="8"/>
        <v>34.9</v>
      </c>
      <c r="H65" s="90"/>
      <c r="I65" s="195" t="s">
        <v>133</v>
      </c>
      <c r="J65" s="52">
        <f>+Abril!J65</f>
        <v>0</v>
      </c>
      <c r="K65" s="47">
        <f>+Abril!K65</f>
        <v>0</v>
      </c>
      <c r="L65" s="47">
        <f>+Abril!L65</f>
        <v>0</v>
      </c>
      <c r="M65" s="47">
        <f>+Abril!M65</f>
        <v>0</v>
      </c>
      <c r="N65" s="53">
        <f>+Abril!N65</f>
        <v>99.999999999999972</v>
      </c>
      <c r="O65" s="190">
        <f t="shared" si="7"/>
        <v>0.99999999999999967</v>
      </c>
      <c r="P65" s="90"/>
      <c r="Q65" s="90"/>
      <c r="R65" s="90"/>
      <c r="S65" s="98"/>
    </row>
    <row r="66" spans="1:19" x14ac:dyDescent="0.25">
      <c r="A66" s="121" t="s">
        <v>134</v>
      </c>
      <c r="B66" s="122">
        <f>+Mayo!B66</f>
        <v>0</v>
      </c>
      <c r="C66" s="123">
        <f>+Mayo!C66</f>
        <v>0</v>
      </c>
      <c r="D66" s="123">
        <f>+Mayo!D66</f>
        <v>0</v>
      </c>
      <c r="E66" s="123">
        <f>+Mayo!E66</f>
        <v>0</v>
      </c>
      <c r="F66" s="124">
        <f>+Mayo!F66</f>
        <v>17.5</v>
      </c>
      <c r="G66" s="198">
        <f t="shared" si="8"/>
        <v>17.5</v>
      </c>
      <c r="H66" s="90"/>
      <c r="I66" s="195" t="s">
        <v>134</v>
      </c>
      <c r="J66" s="52">
        <f>+Mayo!J66</f>
        <v>0</v>
      </c>
      <c r="K66" s="47">
        <f>+Mayo!K66</f>
        <v>0</v>
      </c>
      <c r="L66" s="47">
        <f>+Mayo!L66</f>
        <v>0</v>
      </c>
      <c r="M66" s="47">
        <f>+Mayo!M66</f>
        <v>0</v>
      </c>
      <c r="N66" s="53">
        <f>+Mayo!N66</f>
        <v>100</v>
      </c>
      <c r="O66" s="190">
        <f t="shared" si="7"/>
        <v>1</v>
      </c>
      <c r="P66" s="90"/>
      <c r="Q66" s="90"/>
      <c r="R66" s="90"/>
      <c r="S66" s="98"/>
    </row>
    <row r="67" spans="1:19" x14ac:dyDescent="0.25">
      <c r="A67" s="121" t="s">
        <v>135</v>
      </c>
      <c r="B67" s="122">
        <f>+Junio!B67</f>
        <v>0</v>
      </c>
      <c r="C67" s="123">
        <f>+Junio!C67</f>
        <v>0</v>
      </c>
      <c r="D67" s="123">
        <f>+Junio!D67</f>
        <v>0</v>
      </c>
      <c r="E67" s="123">
        <f>+Junio!E67</f>
        <v>0</v>
      </c>
      <c r="F67" s="124">
        <f>+Junio!F67</f>
        <v>20.8</v>
      </c>
      <c r="G67" s="198">
        <f t="shared" si="8"/>
        <v>20.8</v>
      </c>
      <c r="H67" s="90"/>
      <c r="I67" s="195" t="s">
        <v>135</v>
      </c>
      <c r="J67" s="52">
        <f>+Junio!J67</f>
        <v>0</v>
      </c>
      <c r="K67" s="47">
        <f>+Junio!K67</f>
        <v>0</v>
      </c>
      <c r="L67" s="47">
        <f>+Junio!L67</f>
        <v>0</v>
      </c>
      <c r="M67" s="47">
        <f>+Junio!M67</f>
        <v>0</v>
      </c>
      <c r="N67" s="53">
        <f>+Junio!N67</f>
        <v>100</v>
      </c>
      <c r="O67" s="190">
        <f t="shared" si="7"/>
        <v>1</v>
      </c>
      <c r="P67" s="90"/>
      <c r="Q67" s="90"/>
      <c r="R67" s="90"/>
      <c r="S67" s="98"/>
    </row>
    <row r="68" spans="1:19" x14ac:dyDescent="0.25">
      <c r="A68" s="121" t="s">
        <v>136</v>
      </c>
      <c r="B68" s="122">
        <f>+Julio!B68</f>
        <v>0</v>
      </c>
      <c r="C68" s="123">
        <f>+Julio!C68</f>
        <v>0</v>
      </c>
      <c r="D68" s="123">
        <f>+Julio!D68</f>
        <v>0</v>
      </c>
      <c r="E68" s="123">
        <f>+Julio!E68</f>
        <v>0</v>
      </c>
      <c r="F68" s="124">
        <f>+Julio!F68</f>
        <v>19.5</v>
      </c>
      <c r="G68" s="198">
        <f t="shared" si="8"/>
        <v>19.5</v>
      </c>
      <c r="H68" s="90"/>
      <c r="I68" s="195" t="s">
        <v>136</v>
      </c>
      <c r="J68" s="52">
        <f>+Julio!J68</f>
        <v>0</v>
      </c>
      <c r="K68" s="47">
        <f>+Julio!K68</f>
        <v>0</v>
      </c>
      <c r="L68" s="47">
        <f>+Julio!L68</f>
        <v>0</v>
      </c>
      <c r="M68" s="47">
        <f>+Julio!M68</f>
        <v>0</v>
      </c>
      <c r="N68" s="53">
        <f>+Julio!N68</f>
        <v>100</v>
      </c>
      <c r="O68" s="190">
        <f t="shared" si="7"/>
        <v>1</v>
      </c>
      <c r="P68" s="90"/>
      <c r="Q68" s="90"/>
      <c r="R68" s="90"/>
      <c r="S68" s="98"/>
    </row>
    <row r="69" spans="1:19" x14ac:dyDescent="0.25">
      <c r="A69" s="121" t="s">
        <v>137</v>
      </c>
      <c r="B69" s="122">
        <f>+Agosto!B69</f>
        <v>0</v>
      </c>
      <c r="C69" s="123">
        <f>+Agosto!C69</f>
        <v>0</v>
      </c>
      <c r="D69" s="123">
        <f>+Agosto!D69</f>
        <v>0</v>
      </c>
      <c r="E69" s="123">
        <f>+Agosto!E69</f>
        <v>0</v>
      </c>
      <c r="F69" s="124">
        <f>+Agosto!F69</f>
        <v>17.5</v>
      </c>
      <c r="G69" s="198">
        <f t="shared" si="8"/>
        <v>17.5</v>
      </c>
      <c r="H69" s="90"/>
      <c r="I69" s="195" t="s">
        <v>137</v>
      </c>
      <c r="J69" s="52">
        <f>+Agosto!J69</f>
        <v>0</v>
      </c>
      <c r="K69" s="47">
        <f>+Agosto!K69</f>
        <v>0</v>
      </c>
      <c r="L69" s="47">
        <f>+Agosto!L69</f>
        <v>0</v>
      </c>
      <c r="M69" s="47">
        <f>+Agosto!M69</f>
        <v>0</v>
      </c>
      <c r="N69" s="53">
        <f>+Agosto!N69</f>
        <v>100</v>
      </c>
      <c r="O69" s="190">
        <f t="shared" si="7"/>
        <v>1</v>
      </c>
      <c r="P69" s="90"/>
      <c r="Q69" s="90"/>
      <c r="R69" s="90"/>
      <c r="S69" s="98"/>
    </row>
    <row r="70" spans="1:19" ht="15.75" thickBot="1" x14ac:dyDescent="0.3">
      <c r="A70" s="127" t="s">
        <v>138</v>
      </c>
      <c r="B70" s="128"/>
      <c r="C70" s="129">
        <v>0</v>
      </c>
      <c r="D70" s="129">
        <v>0</v>
      </c>
      <c r="E70" s="129">
        <v>0</v>
      </c>
      <c r="F70" s="159">
        <v>24</v>
      </c>
      <c r="G70" s="199">
        <f t="shared" si="8"/>
        <v>24</v>
      </c>
      <c r="H70" s="90"/>
      <c r="I70" s="119" t="s">
        <v>138</v>
      </c>
      <c r="J70" s="72">
        <f>(B70/$R$53)*100</f>
        <v>0</v>
      </c>
      <c r="K70" s="38">
        <f>(C70/$R$53)*100</f>
        <v>0</v>
      </c>
      <c r="L70" s="38">
        <f>(D70/$R$53)*100</f>
        <v>0</v>
      </c>
      <c r="M70" s="38">
        <f>(E70/$R$53)*100</f>
        <v>0</v>
      </c>
      <c r="N70" s="54">
        <f>(F70/$R$53)*100</f>
        <v>100</v>
      </c>
      <c r="O70" s="191">
        <f>SUM(J70:N70)/100</f>
        <v>1</v>
      </c>
      <c r="P70" s="90"/>
      <c r="Q70" s="90"/>
      <c r="R70" s="90"/>
      <c r="S70" s="98"/>
    </row>
    <row r="71" spans="1:19" x14ac:dyDescent="0.25">
      <c r="A71" s="97"/>
      <c r="B71" s="130"/>
      <c r="C71" s="130"/>
      <c r="D71" s="130"/>
      <c r="E71" s="130"/>
      <c r="F71" s="130"/>
      <c r="G71" s="90"/>
      <c r="H71" s="90"/>
      <c r="J71" s="131"/>
      <c r="K71" s="90"/>
      <c r="L71" s="90"/>
      <c r="M71" s="90"/>
      <c r="N71" s="90"/>
      <c r="O71" s="90"/>
      <c r="P71" s="90"/>
      <c r="Q71" s="90"/>
      <c r="R71" s="90"/>
      <c r="S71" s="98"/>
    </row>
    <row r="72" spans="1:19" x14ac:dyDescent="0.25">
      <c r="A72" s="97"/>
      <c r="B72" s="90"/>
      <c r="C72" s="90"/>
      <c r="D72" s="90"/>
      <c r="E72" s="90"/>
      <c r="F72" s="90"/>
      <c r="G72" s="90"/>
      <c r="H72" s="90"/>
      <c r="I72" s="131" t="s">
        <v>127</v>
      </c>
      <c r="J72" s="131"/>
      <c r="K72" s="90"/>
      <c r="L72" s="90"/>
      <c r="M72" s="90"/>
      <c r="N72" s="90"/>
      <c r="O72" s="90"/>
      <c r="P72" s="90"/>
      <c r="Q72" s="90"/>
      <c r="R72" s="90"/>
      <c r="S72" s="98"/>
    </row>
    <row r="73" spans="1:19" x14ac:dyDescent="0.25">
      <c r="A73" s="97"/>
      <c r="B73" s="90"/>
      <c r="C73" s="90"/>
      <c r="D73" s="90"/>
      <c r="E73" s="90"/>
      <c r="F73" s="90"/>
      <c r="G73" s="90"/>
      <c r="H73" s="90"/>
      <c r="I73" s="131" t="s">
        <v>128</v>
      </c>
      <c r="J73" s="131"/>
      <c r="K73" s="90"/>
      <c r="L73" s="90"/>
      <c r="M73" s="90"/>
      <c r="N73" s="90"/>
      <c r="O73" s="90"/>
      <c r="P73" s="90"/>
      <c r="Q73" s="90"/>
      <c r="R73" s="90"/>
      <c r="S73" s="98"/>
    </row>
    <row r="74" spans="1:19" x14ac:dyDescent="0.25">
      <c r="A74" s="97"/>
      <c r="B74" s="90"/>
      <c r="C74" s="90"/>
      <c r="D74" s="90"/>
      <c r="E74" s="90"/>
      <c r="F74" s="90"/>
      <c r="G74" s="90"/>
      <c r="H74" s="90"/>
      <c r="I74" s="131" t="s">
        <v>129</v>
      </c>
      <c r="J74" s="131"/>
      <c r="K74" s="90"/>
      <c r="L74" s="90"/>
      <c r="M74" s="90"/>
      <c r="N74" s="90"/>
      <c r="O74" s="90"/>
      <c r="P74" s="90"/>
      <c r="Q74" s="90"/>
      <c r="R74" s="90"/>
      <c r="S74" s="98"/>
    </row>
    <row r="75" spans="1:19" ht="15.75" thickBot="1" x14ac:dyDescent="0.3">
      <c r="A75" s="132"/>
      <c r="B75" s="93"/>
      <c r="C75" s="93"/>
      <c r="D75" s="93"/>
      <c r="E75" s="93"/>
      <c r="F75" s="93"/>
      <c r="G75" s="93"/>
      <c r="H75" s="93"/>
      <c r="I75" s="133" t="s">
        <v>130</v>
      </c>
      <c r="J75" s="133"/>
      <c r="K75" s="93"/>
      <c r="L75" s="93"/>
      <c r="M75" s="93"/>
      <c r="N75" s="93"/>
      <c r="O75" s="93"/>
      <c r="P75" s="93"/>
      <c r="Q75" s="93"/>
      <c r="R75" s="93"/>
      <c r="S75" s="134"/>
    </row>
  </sheetData>
  <sheetProtection algorithmName="SHA-512" hashValue="QGggt8TRA3TOdN1AGhnEfTp48PpuKSNT75+jVcPdPZJ+jDsZCLVbJE0Mv98eOqVtSKQ+oyLodTmTys5NMc+GXg==" saltValue="VnOsCEilaDpu0x+kI3SRaA==" spinCount="100000" sheet="1" selectLockedCells="1"/>
  <mergeCells count="45">
    <mergeCell ref="J59:O59"/>
    <mergeCell ref="A60:A61"/>
    <mergeCell ref="B60:F60"/>
    <mergeCell ref="G60:G61"/>
    <mergeCell ref="I60:I61"/>
    <mergeCell ref="K60:N60"/>
    <mergeCell ref="O60:O61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70">
    <cfRule type="cellIs" dxfId="50" priority="10" operator="notEqual">
      <formula>$R$53</formula>
    </cfRule>
  </conditionalFormatting>
  <conditionalFormatting sqref="O62:O70">
    <cfRule type="cellIs" dxfId="49" priority="9" operator="notEqual">
      <formula>100%</formula>
    </cfRule>
  </conditionalFormatting>
  <pageMargins left="0.7" right="0.7" top="0.75" bottom="0.75" header="0.3" footer="0.3"/>
  <pageSetup paperSize="2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154B6BBF-2410-4000-8950-946D05D0C4A0}">
            <xm:f>Enero!R53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2" operator="notEqual" id="{21770EF2-F43F-4501-AC7C-1078384151FE}">
            <xm:f>Febrero!R53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3" operator="notEqual" id="{607775AC-B1F2-43D1-A8DC-F6F1E6BAC10A}">
            <xm:f>Marzo!R53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4" operator="notEqual" id="{FD1A5689-E5BC-47D2-AD73-70F1ADCF0DF4}">
            <xm:f>Abril!R53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5" operator="notEqual" id="{D6015273-D91D-429C-B8F3-94A736F4CFD0}">
            <xm:f>Mayo!R53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ellIs" priority="6" operator="notEqual" id="{D842605A-5B64-489E-9817-1D84F6676A6B}">
            <xm:f>Junio!R53</xm:f>
            <x14:dxf>
              <fill>
                <patternFill>
                  <bgColor rgb="FFFF0000"/>
                </patternFill>
              </fill>
            </x14:dxf>
          </x14:cfRule>
          <xm:sqref>G67</xm:sqref>
        </x14:conditionalFormatting>
        <x14:conditionalFormatting xmlns:xm="http://schemas.microsoft.com/office/excel/2006/main">
          <x14:cfRule type="cellIs" priority="7" operator="notEqual" id="{2CA45A94-EC52-4A2E-BD07-1C30481070DC}">
            <xm:f>Julio!R53</xm:f>
            <x14:dxf>
              <fill>
                <patternFill>
                  <bgColor rgb="FFFF0000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cellIs" priority="8" operator="notEqual" id="{AF0A7E4E-4D5C-4022-B7C5-7B1FB4E23042}">
            <xm:f>Agosto!R53</xm:f>
            <x14:dxf>
              <fill>
                <patternFill>
                  <bgColor rgb="FFFF0000"/>
                </patternFill>
              </fill>
            </x14:dxf>
          </x14:cfRule>
          <xm:sqref>G69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4B5E-4AAE-4808-BBB4-46EAF936FA78}">
  <dimension ref="A1:V76"/>
  <sheetViews>
    <sheetView showGridLines="0" zoomScale="70" zoomScaleNormal="70" workbookViewId="0">
      <selection activeCell="D10" sqref="D10:J10"/>
    </sheetView>
  </sheetViews>
  <sheetFormatPr baseColWidth="10" defaultColWidth="0" defaultRowHeight="15" customHeight="1" zeroHeight="1" x14ac:dyDescent="0.25"/>
  <cols>
    <col min="1" max="1" width="17.85546875" style="88" bestFit="1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3.5703125" style="88" bestFit="1" customWidth="1"/>
    <col min="19" max="20" width="11.42578125" style="88" customWidth="1"/>
    <col min="21" max="21" width="9.42578125" style="88" hidden="1" customWidth="1"/>
    <col min="22" max="22" width="0" style="88" hidden="1" customWidth="1"/>
    <col min="23" max="16384" width="11.42578125" style="88" hidden="1"/>
  </cols>
  <sheetData>
    <row r="1" spans="1:19" x14ac:dyDescent="0.25">
      <c r="A1" s="310"/>
      <c r="B1" s="311"/>
      <c r="C1" s="311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12"/>
      <c r="B2" s="313"/>
      <c r="C2" s="313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12"/>
      <c r="B3" s="313"/>
      <c r="C3" s="313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12"/>
      <c r="B4" s="313"/>
      <c r="C4" s="313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12"/>
      <c r="B5" s="313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12"/>
      <c r="B6" s="313"/>
      <c r="C6" s="313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03" t="s">
        <v>81</v>
      </c>
      <c r="B7" s="304"/>
      <c r="C7" s="304"/>
      <c r="D7" s="305" t="s">
        <v>172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03" t="s">
        <v>83</v>
      </c>
      <c r="B8" s="304"/>
      <c r="C8" s="304"/>
      <c r="D8" s="305" t="s">
        <v>156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169</v>
      </c>
      <c r="O8" s="308"/>
      <c r="P8" s="308"/>
      <c r="Q8" s="308"/>
      <c r="R8" s="308"/>
      <c r="S8" s="309"/>
    </row>
    <row r="9" spans="1:19" x14ac:dyDescent="0.25">
      <c r="A9" s="303" t="s">
        <v>85</v>
      </c>
      <c r="B9" s="304"/>
      <c r="C9" s="304"/>
      <c r="D9" s="305" t="s">
        <v>164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161</v>
      </c>
      <c r="O9" s="308"/>
      <c r="P9" s="308"/>
      <c r="Q9" s="308"/>
      <c r="R9" s="308"/>
      <c r="S9" s="309"/>
    </row>
    <row r="10" spans="1:19" x14ac:dyDescent="0.25">
      <c r="A10" s="303" t="s">
        <v>87</v>
      </c>
      <c r="B10" s="304"/>
      <c r="C10" s="304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180</v>
      </c>
      <c r="O10" s="308"/>
      <c r="P10" s="308"/>
      <c r="Q10" s="308"/>
      <c r="R10" s="308"/>
      <c r="S10" s="309"/>
    </row>
    <row r="11" spans="1:19" x14ac:dyDescent="0.25">
      <c r="A11" s="266" t="s">
        <v>89</v>
      </c>
      <c r="B11" s="267"/>
      <c r="C11" s="267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97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97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274" t="s">
        <v>91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98"/>
    </row>
    <row r="17" spans="1:19" ht="15.75" thickBot="1" x14ac:dyDescent="0.3">
      <c r="A17" s="277"/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9"/>
      <c r="S17" s="98"/>
    </row>
    <row r="18" spans="1:19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19" customFormat="1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</row>
    <row r="20" spans="1:19" customFormat="1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</row>
    <row r="21" spans="1:19" customFormat="1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</row>
    <row r="22" spans="1:19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19" x14ac:dyDescent="0.25">
      <c r="A23" s="4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19" x14ac:dyDescent="0.25">
      <c r="A24" s="4">
        <v>3</v>
      </c>
      <c r="B24" s="86"/>
      <c r="C24" s="87"/>
      <c r="D24" s="87"/>
      <c r="E24" s="103">
        <f t="shared" si="0"/>
        <v>0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0</v>
      </c>
      <c r="S24" s="98"/>
    </row>
    <row r="25" spans="1:19" x14ac:dyDescent="0.25">
      <c r="A25" s="4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19" x14ac:dyDescent="0.25">
      <c r="A26" s="4">
        <v>5</v>
      </c>
      <c r="B26" s="86"/>
      <c r="C26" s="87"/>
      <c r="D26" s="87"/>
      <c r="E26" s="103">
        <f t="shared" si="0"/>
        <v>0</v>
      </c>
      <c r="F26" s="86"/>
      <c r="G26" s="87"/>
      <c r="H26" s="87"/>
      <c r="I26" s="87"/>
      <c r="J26" s="103">
        <f t="shared" si="1"/>
        <v>0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</v>
      </c>
      <c r="R26" s="91">
        <f t="shared" si="4"/>
        <v>0</v>
      </c>
      <c r="S26" s="98"/>
    </row>
    <row r="27" spans="1:19" x14ac:dyDescent="0.25">
      <c r="A27" s="4">
        <v>6</v>
      </c>
      <c r="B27" s="86"/>
      <c r="C27" s="87"/>
      <c r="D27" s="87"/>
      <c r="E27" s="103">
        <f t="shared" si="0"/>
        <v>0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0</v>
      </c>
      <c r="S27" s="98"/>
    </row>
    <row r="28" spans="1:19" x14ac:dyDescent="0.25">
      <c r="A28" s="4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19" x14ac:dyDescent="0.25">
      <c r="A29" s="4">
        <v>8</v>
      </c>
      <c r="B29" s="86"/>
      <c r="C29" s="87"/>
      <c r="D29" s="87"/>
      <c r="E29" s="103">
        <f t="shared" si="0"/>
        <v>0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0</v>
      </c>
      <c r="S29" s="98"/>
    </row>
    <row r="30" spans="1:19" x14ac:dyDescent="0.25">
      <c r="A30" s="4">
        <v>9</v>
      </c>
      <c r="B30" s="86"/>
      <c r="C30" s="87"/>
      <c r="D30" s="87"/>
      <c r="E30" s="103">
        <f t="shared" si="0"/>
        <v>0</v>
      </c>
      <c r="F30" s="86"/>
      <c r="G30" s="87"/>
      <c r="H30" s="87"/>
      <c r="I30" s="87"/>
      <c r="J30" s="103">
        <f t="shared" si="1"/>
        <v>0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</v>
      </c>
      <c r="R30" s="91">
        <f t="shared" si="4"/>
        <v>0</v>
      </c>
      <c r="S30" s="98"/>
    </row>
    <row r="31" spans="1:19" x14ac:dyDescent="0.25">
      <c r="A31" s="4">
        <v>10</v>
      </c>
      <c r="B31" s="86"/>
      <c r="C31" s="87"/>
      <c r="D31" s="87"/>
      <c r="E31" s="103">
        <f t="shared" si="0"/>
        <v>0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0</v>
      </c>
      <c r="S31" s="98"/>
    </row>
    <row r="32" spans="1:19" x14ac:dyDescent="0.25">
      <c r="A32" s="4">
        <v>11</v>
      </c>
      <c r="B32" s="86"/>
      <c r="C32" s="87"/>
      <c r="D32" s="87"/>
      <c r="E32" s="103">
        <f t="shared" si="0"/>
        <v>0</v>
      </c>
      <c r="F32" s="86"/>
      <c r="G32" s="87"/>
      <c r="H32" s="87"/>
      <c r="I32" s="87"/>
      <c r="J32" s="103">
        <f t="shared" si="1"/>
        <v>0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</v>
      </c>
      <c r="R32" s="91">
        <f t="shared" si="4"/>
        <v>0</v>
      </c>
      <c r="S32" s="98"/>
    </row>
    <row r="33" spans="1:19" x14ac:dyDescent="0.25">
      <c r="A33" s="4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4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4">
        <v>14</v>
      </c>
      <c r="B35" s="86"/>
      <c r="C35" s="87"/>
      <c r="D35" s="87"/>
      <c r="E35" s="103">
        <f t="shared" si="0"/>
        <v>0</v>
      </c>
      <c r="F35" s="86"/>
      <c r="G35" s="87"/>
      <c r="H35" s="87"/>
      <c r="I35" s="87"/>
      <c r="J35" s="103">
        <f t="shared" si="1"/>
        <v>0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0</v>
      </c>
      <c r="R35" s="91">
        <f t="shared" si="4"/>
        <v>0</v>
      </c>
      <c r="S35" s="98"/>
    </row>
    <row r="36" spans="1:19" x14ac:dyDescent="0.25">
      <c r="A36" s="4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4">
        <v>16</v>
      </c>
      <c r="B37" s="86"/>
      <c r="C37" s="87"/>
      <c r="D37" s="87"/>
      <c r="E37" s="103">
        <f t="shared" si="0"/>
        <v>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0</v>
      </c>
      <c r="S37" s="98"/>
    </row>
    <row r="38" spans="1:19" x14ac:dyDescent="0.25">
      <c r="A38" s="4">
        <v>17</v>
      </c>
      <c r="B38" s="86"/>
      <c r="C38" s="87"/>
      <c r="D38" s="87">
        <v>18</v>
      </c>
      <c r="E38" s="103">
        <f t="shared" si="0"/>
        <v>18</v>
      </c>
      <c r="F38" s="86"/>
      <c r="G38" s="87"/>
      <c r="H38" s="87">
        <v>0.5</v>
      </c>
      <c r="I38" s="87"/>
      <c r="J38" s="103">
        <f t="shared" si="1"/>
        <v>0.5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0.5</v>
      </c>
      <c r="R38" s="91">
        <f t="shared" si="4"/>
        <v>18.5</v>
      </c>
      <c r="S38" s="98"/>
    </row>
    <row r="39" spans="1:19" x14ac:dyDescent="0.25">
      <c r="A39" s="4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4">
        <v>19</v>
      </c>
      <c r="B40" s="86"/>
      <c r="C40" s="87"/>
      <c r="D40" s="87"/>
      <c r="E40" s="103">
        <f t="shared" si="0"/>
        <v>0</v>
      </c>
      <c r="F40" s="86"/>
      <c r="G40" s="87"/>
      <c r="H40" s="87"/>
      <c r="I40" s="87"/>
      <c r="J40" s="103">
        <f t="shared" si="1"/>
        <v>0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</v>
      </c>
      <c r="R40" s="91">
        <f t="shared" si="4"/>
        <v>0</v>
      </c>
      <c r="S40" s="98"/>
    </row>
    <row r="41" spans="1:19" x14ac:dyDescent="0.25">
      <c r="A41" s="4">
        <v>20</v>
      </c>
      <c r="B41" s="86"/>
      <c r="C41" s="87"/>
      <c r="D41" s="87"/>
      <c r="E41" s="103">
        <f t="shared" si="0"/>
        <v>0</v>
      </c>
      <c r="F41" s="86"/>
      <c r="G41" s="87"/>
      <c r="H41" s="87"/>
      <c r="I41" s="87"/>
      <c r="J41" s="103">
        <f t="shared" si="1"/>
        <v>0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0</v>
      </c>
      <c r="R41" s="91">
        <f t="shared" si="4"/>
        <v>0</v>
      </c>
      <c r="S41" s="98"/>
    </row>
    <row r="42" spans="1:19" x14ac:dyDescent="0.25">
      <c r="A42" s="4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4">
        <v>22</v>
      </c>
      <c r="B43" s="86"/>
      <c r="C43" s="87"/>
      <c r="D43" s="87"/>
      <c r="E43" s="103">
        <f t="shared" si="0"/>
        <v>0</v>
      </c>
      <c r="F43" s="86"/>
      <c r="G43" s="87"/>
      <c r="H43" s="87"/>
      <c r="I43" s="87"/>
      <c r="J43" s="103">
        <f t="shared" si="1"/>
        <v>0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</v>
      </c>
      <c r="R43" s="91">
        <f t="shared" si="4"/>
        <v>0</v>
      </c>
      <c r="S43" s="98"/>
    </row>
    <row r="44" spans="1:19" x14ac:dyDescent="0.25">
      <c r="A44" s="4">
        <v>23</v>
      </c>
      <c r="B44" s="86"/>
      <c r="C44" s="87"/>
      <c r="D44" s="87"/>
      <c r="E44" s="103">
        <f t="shared" si="0"/>
        <v>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0</v>
      </c>
      <c r="S44" s="98"/>
    </row>
    <row r="45" spans="1:19" x14ac:dyDescent="0.25">
      <c r="A45" s="4">
        <v>24</v>
      </c>
      <c r="B45" s="86"/>
      <c r="C45" s="87"/>
      <c r="D45" s="87"/>
      <c r="E45" s="103">
        <f t="shared" si="0"/>
        <v>0</v>
      </c>
      <c r="F45" s="86"/>
      <c r="G45" s="87"/>
      <c r="H45" s="87"/>
      <c r="I45" s="87"/>
      <c r="J45" s="103">
        <f t="shared" si="1"/>
        <v>0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0</v>
      </c>
      <c r="R45" s="91">
        <f t="shared" si="4"/>
        <v>0</v>
      </c>
      <c r="S45" s="98"/>
    </row>
    <row r="46" spans="1:19" x14ac:dyDescent="0.25">
      <c r="A46" s="4">
        <v>25</v>
      </c>
      <c r="B46" s="86"/>
      <c r="C46" s="87"/>
      <c r="D46" s="87"/>
      <c r="E46" s="103">
        <f t="shared" si="0"/>
        <v>0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0</v>
      </c>
      <c r="S46" s="98"/>
    </row>
    <row r="47" spans="1:19" x14ac:dyDescent="0.25">
      <c r="A47" s="4">
        <v>26</v>
      </c>
      <c r="B47" s="86"/>
      <c r="C47" s="87"/>
      <c r="D47" s="87">
        <v>6</v>
      </c>
      <c r="E47" s="103">
        <f t="shared" si="0"/>
        <v>6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6</v>
      </c>
      <c r="S47" s="98"/>
    </row>
    <row r="48" spans="1:19" x14ac:dyDescent="0.25">
      <c r="A48" s="4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4">
        <v>28</v>
      </c>
      <c r="B49" s="86"/>
      <c r="C49" s="87"/>
      <c r="D49" s="87"/>
      <c r="E49" s="103">
        <f t="shared" si="0"/>
        <v>0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0</v>
      </c>
      <c r="S49" s="98"/>
    </row>
    <row r="50" spans="1:19" x14ac:dyDescent="0.25">
      <c r="A50" s="4">
        <v>29</v>
      </c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4">
        <v>30</v>
      </c>
      <c r="B51" s="86"/>
      <c r="C51" s="87"/>
      <c r="D51" s="87"/>
      <c r="E51" s="103">
        <f t="shared" si="0"/>
        <v>0</v>
      </c>
      <c r="F51" s="86"/>
      <c r="G51" s="87"/>
      <c r="H51" s="87"/>
      <c r="I51" s="87"/>
      <c r="J51" s="103">
        <f t="shared" si="1"/>
        <v>0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0</v>
      </c>
      <c r="R51" s="91">
        <f t="shared" si="4"/>
        <v>0</v>
      </c>
      <c r="S51" s="98"/>
    </row>
    <row r="52" spans="1:19" ht="15.75" thickBot="1" x14ac:dyDescent="0.3">
      <c r="A52" s="5">
        <v>31</v>
      </c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s="177" customFormat="1" ht="15.75" thickBot="1" x14ac:dyDescent="0.3">
      <c r="A53" s="176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24</v>
      </c>
      <c r="E53" s="170">
        <f>+SUM(E22:E52)</f>
        <v>24</v>
      </c>
      <c r="F53" s="168">
        <f t="shared" ref="F53:Q53" si="6">+SUM(F22:F52)</f>
        <v>0</v>
      </c>
      <c r="G53" s="169">
        <f t="shared" si="6"/>
        <v>0</v>
      </c>
      <c r="H53" s="169">
        <f t="shared" si="6"/>
        <v>0.5</v>
      </c>
      <c r="I53" s="169">
        <f t="shared" si="6"/>
        <v>0</v>
      </c>
      <c r="J53" s="170">
        <f t="shared" si="6"/>
        <v>0.5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 t="shared" si="6"/>
        <v>0</v>
      </c>
      <c r="Q53" s="173">
        <f t="shared" si="6"/>
        <v>0.5</v>
      </c>
      <c r="R53" s="174">
        <f>+SUM(R22:R52)</f>
        <v>24.5</v>
      </c>
      <c r="S53" s="175">
        <f>+E53+Q53</f>
        <v>24.5</v>
      </c>
    </row>
    <row r="54" spans="1:19" x14ac:dyDescent="0.25">
      <c r="A54" s="9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9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264" t="s">
        <v>111</v>
      </c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R56" s="90"/>
      <c r="S56" s="98"/>
    </row>
    <row r="57" spans="1:19" x14ac:dyDescent="0.25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R57" s="90"/>
      <c r="S57" s="98"/>
    </row>
    <row r="58" spans="1:19" ht="15.75" thickBot="1" x14ac:dyDescent="0.3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250">
        <v>33</v>
      </c>
      <c r="K59" s="251"/>
      <c r="L59" s="251"/>
      <c r="M59" s="251"/>
      <c r="N59" s="251"/>
      <c r="O59" s="252"/>
      <c r="R59" s="166"/>
      <c r="S59" s="142"/>
    </row>
    <row r="60" spans="1:19" ht="15.75" thickBot="1" x14ac:dyDescent="0.3">
      <c r="A60" s="248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257" t="s">
        <v>112</v>
      </c>
      <c r="J60" s="107"/>
      <c r="K60" s="259" t="s">
        <v>114</v>
      </c>
      <c r="L60" s="260"/>
      <c r="M60" s="260"/>
      <c r="N60" s="261"/>
      <c r="O60" s="262" t="s">
        <v>115</v>
      </c>
      <c r="R60" s="92"/>
      <c r="S60" s="98"/>
    </row>
    <row r="61" spans="1:19" ht="60.75" thickBot="1" x14ac:dyDescent="0.3">
      <c r="A61" s="336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337"/>
      <c r="J61" s="179" t="s">
        <v>121</v>
      </c>
      <c r="K61" s="112" t="s">
        <v>122</v>
      </c>
      <c r="L61" s="110" t="s">
        <v>123</v>
      </c>
      <c r="M61" s="110" t="s">
        <v>124</v>
      </c>
      <c r="N61" s="111" t="s">
        <v>125</v>
      </c>
      <c r="O61" s="338"/>
      <c r="R61" s="92"/>
      <c r="S61" s="98"/>
    </row>
    <row r="62" spans="1:19" x14ac:dyDescent="0.25">
      <c r="A62" s="113" t="s">
        <v>126</v>
      </c>
      <c r="B62" s="114">
        <f>+Enero!B62</f>
        <v>0</v>
      </c>
      <c r="C62" s="115">
        <f>+Enero!C62</f>
        <v>0</v>
      </c>
      <c r="D62" s="115">
        <f>+Enero!D62</f>
        <v>0</v>
      </c>
      <c r="E62" s="116">
        <f>+Enero!E62</f>
        <v>0</v>
      </c>
      <c r="F62" s="200">
        <f>+Enero!F62</f>
        <v>13.7</v>
      </c>
      <c r="G62" s="197">
        <f>SUM(B62:F62)</f>
        <v>13.7</v>
      </c>
      <c r="H62" s="92"/>
      <c r="I62" s="194" t="s">
        <v>126</v>
      </c>
      <c r="J62" s="49">
        <f>+Enero!J62</f>
        <v>0</v>
      </c>
      <c r="K62" s="50">
        <f>+Enero!K62</f>
        <v>0</v>
      </c>
      <c r="L62" s="50">
        <f>+Enero!L62</f>
        <v>0</v>
      </c>
      <c r="M62" s="50">
        <f>+Enero!M62</f>
        <v>0</v>
      </c>
      <c r="N62" s="51">
        <f>+Enero!N62</f>
        <v>100</v>
      </c>
      <c r="O62" s="196">
        <f t="shared" ref="O62:O70" si="7">SUM(J62:N62)/100</f>
        <v>1</v>
      </c>
      <c r="R62" s="92"/>
      <c r="S62" s="98"/>
    </row>
    <row r="63" spans="1:19" x14ac:dyDescent="0.25">
      <c r="A63" s="121" t="s">
        <v>131</v>
      </c>
      <c r="B63" s="122">
        <f>+Febrero!B63</f>
        <v>0</v>
      </c>
      <c r="C63" s="123">
        <f>+Febrero!C63</f>
        <v>0</v>
      </c>
      <c r="D63" s="123">
        <f>+Febrero!D63</f>
        <v>0</v>
      </c>
      <c r="E63" s="123">
        <f>+Febrero!E63</f>
        <v>0</v>
      </c>
      <c r="F63" s="124">
        <f>+Febrero!F63</f>
        <v>20.85</v>
      </c>
      <c r="G63" s="198">
        <f>+SUM(B63:F63)</f>
        <v>20.85</v>
      </c>
      <c r="H63" s="90"/>
      <c r="I63" s="195" t="s">
        <v>131</v>
      </c>
      <c r="J63" s="52">
        <f>+Febrero!J63</f>
        <v>0</v>
      </c>
      <c r="K63" s="47">
        <f>+Febrero!K63</f>
        <v>0</v>
      </c>
      <c r="L63" s="47">
        <f>+Febrero!L63</f>
        <v>0</v>
      </c>
      <c r="M63" s="47">
        <f>+Febrero!M63</f>
        <v>0</v>
      </c>
      <c r="N63" s="53">
        <f>+Febrero!N63</f>
        <v>100</v>
      </c>
      <c r="O63" s="190">
        <f t="shared" si="7"/>
        <v>1</v>
      </c>
      <c r="P63" s="90"/>
      <c r="Q63" s="90"/>
      <c r="R63" s="90"/>
      <c r="S63" s="98"/>
    </row>
    <row r="64" spans="1:19" x14ac:dyDescent="0.25">
      <c r="A64" s="121" t="s">
        <v>132</v>
      </c>
      <c r="B64" s="122">
        <f>+Marzo!B64</f>
        <v>0</v>
      </c>
      <c r="C64" s="123">
        <f>+Marzo!C64</f>
        <v>0</v>
      </c>
      <c r="D64" s="123">
        <f>+Marzo!D64</f>
        <v>0</v>
      </c>
      <c r="E64" s="123">
        <f>+Marzo!E64</f>
        <v>0</v>
      </c>
      <c r="F64" s="124">
        <f>+Marzo!F64</f>
        <v>21.9</v>
      </c>
      <c r="G64" s="198">
        <f t="shared" ref="G64:G71" si="8">+SUM(B64:F64)</f>
        <v>21.9</v>
      </c>
      <c r="H64" s="90"/>
      <c r="I64" s="195" t="s">
        <v>132</v>
      </c>
      <c r="J64" s="52">
        <f>+Marzo!J64</f>
        <v>0</v>
      </c>
      <c r="K64" s="47">
        <f>+Marzo!K64</f>
        <v>0</v>
      </c>
      <c r="L64" s="47">
        <f>+Marzo!L64</f>
        <v>0</v>
      </c>
      <c r="M64" s="47">
        <f>+Marzo!M64</f>
        <v>0</v>
      </c>
      <c r="N64" s="53">
        <f>+Marzo!N64</f>
        <v>100</v>
      </c>
      <c r="O64" s="190">
        <f t="shared" si="7"/>
        <v>1</v>
      </c>
      <c r="P64" s="90"/>
      <c r="Q64" s="90"/>
      <c r="R64" s="90"/>
      <c r="S64" s="98"/>
    </row>
    <row r="65" spans="1:19" x14ac:dyDescent="0.25">
      <c r="A65" s="121" t="s">
        <v>133</v>
      </c>
      <c r="B65" s="122">
        <f>+Abril!B65</f>
        <v>0</v>
      </c>
      <c r="C65" s="123">
        <f>+Abril!C65</f>
        <v>0</v>
      </c>
      <c r="D65" s="123">
        <f>+Abril!D65</f>
        <v>0</v>
      </c>
      <c r="E65" s="123">
        <f>+Abril!E65</f>
        <v>0</v>
      </c>
      <c r="F65" s="124">
        <f>+Abril!F65</f>
        <v>34.9</v>
      </c>
      <c r="G65" s="198">
        <f t="shared" si="8"/>
        <v>34.9</v>
      </c>
      <c r="H65" s="90"/>
      <c r="I65" s="195" t="s">
        <v>133</v>
      </c>
      <c r="J65" s="52">
        <f>+Abril!J65</f>
        <v>0</v>
      </c>
      <c r="K65" s="47">
        <f>+Abril!K65</f>
        <v>0</v>
      </c>
      <c r="L65" s="47">
        <f>+Abril!L65</f>
        <v>0</v>
      </c>
      <c r="M65" s="47">
        <f>+Abril!M65</f>
        <v>0</v>
      </c>
      <c r="N65" s="53">
        <f>+Abril!N65</f>
        <v>99.999999999999972</v>
      </c>
      <c r="O65" s="190">
        <f t="shared" si="7"/>
        <v>0.99999999999999967</v>
      </c>
      <c r="P65" s="90"/>
      <c r="Q65" s="90"/>
      <c r="R65" s="90"/>
      <c r="S65" s="98"/>
    </row>
    <row r="66" spans="1:19" x14ac:dyDescent="0.25">
      <c r="A66" s="121" t="s">
        <v>134</v>
      </c>
      <c r="B66" s="122">
        <f>+Mayo!B66</f>
        <v>0</v>
      </c>
      <c r="C66" s="123">
        <f>+Mayo!C66</f>
        <v>0</v>
      </c>
      <c r="D66" s="123">
        <f>+Mayo!D66</f>
        <v>0</v>
      </c>
      <c r="E66" s="123">
        <f>+Mayo!E66</f>
        <v>0</v>
      </c>
      <c r="F66" s="124">
        <f>+Mayo!F66</f>
        <v>17.5</v>
      </c>
      <c r="G66" s="198">
        <f t="shared" si="8"/>
        <v>17.5</v>
      </c>
      <c r="H66" s="90"/>
      <c r="I66" s="195" t="s">
        <v>134</v>
      </c>
      <c r="J66" s="52">
        <f>+Mayo!J66</f>
        <v>0</v>
      </c>
      <c r="K66" s="47">
        <f>+Mayo!K66</f>
        <v>0</v>
      </c>
      <c r="L66" s="47">
        <f>+Mayo!L66</f>
        <v>0</v>
      </c>
      <c r="M66" s="47">
        <f>+Mayo!M66</f>
        <v>0</v>
      </c>
      <c r="N66" s="53">
        <f>+Mayo!N66</f>
        <v>100</v>
      </c>
      <c r="O66" s="190">
        <f t="shared" si="7"/>
        <v>1</v>
      </c>
      <c r="P66" s="90"/>
      <c r="Q66" s="90"/>
      <c r="R66" s="90"/>
      <c r="S66" s="98"/>
    </row>
    <row r="67" spans="1:19" x14ac:dyDescent="0.25">
      <c r="A67" s="121" t="s">
        <v>135</v>
      </c>
      <c r="B67" s="122">
        <f>+Junio!B67</f>
        <v>0</v>
      </c>
      <c r="C67" s="123">
        <f>+Junio!C67</f>
        <v>0</v>
      </c>
      <c r="D67" s="123">
        <f>+Junio!D67</f>
        <v>0</v>
      </c>
      <c r="E67" s="123">
        <f>+Junio!E67</f>
        <v>0</v>
      </c>
      <c r="F67" s="124">
        <f>+Junio!F67</f>
        <v>20.8</v>
      </c>
      <c r="G67" s="198">
        <f t="shared" si="8"/>
        <v>20.8</v>
      </c>
      <c r="H67" s="90"/>
      <c r="I67" s="195" t="s">
        <v>135</v>
      </c>
      <c r="J67" s="52">
        <f>+Junio!J67</f>
        <v>0</v>
      </c>
      <c r="K67" s="47">
        <f>+Junio!K67</f>
        <v>0</v>
      </c>
      <c r="L67" s="47">
        <f>+Junio!L67</f>
        <v>0</v>
      </c>
      <c r="M67" s="47">
        <f>+Junio!M67</f>
        <v>0</v>
      </c>
      <c r="N67" s="53">
        <f>+Junio!N67</f>
        <v>100</v>
      </c>
      <c r="O67" s="190">
        <f t="shared" si="7"/>
        <v>1</v>
      </c>
      <c r="P67" s="90"/>
      <c r="Q67" s="90"/>
      <c r="R67" s="90"/>
      <c r="S67" s="98"/>
    </row>
    <row r="68" spans="1:19" x14ac:dyDescent="0.25">
      <c r="A68" s="121" t="s">
        <v>136</v>
      </c>
      <c r="B68" s="122">
        <f>+Julio!B68</f>
        <v>0</v>
      </c>
      <c r="C68" s="123">
        <f>+Julio!C68</f>
        <v>0</v>
      </c>
      <c r="D68" s="123">
        <f>+Julio!D68</f>
        <v>0</v>
      </c>
      <c r="E68" s="123">
        <f>+Julio!E68</f>
        <v>0</v>
      </c>
      <c r="F68" s="124">
        <f>+Julio!F68</f>
        <v>19.5</v>
      </c>
      <c r="G68" s="198">
        <f t="shared" si="8"/>
        <v>19.5</v>
      </c>
      <c r="H68" s="90"/>
      <c r="I68" s="195" t="s">
        <v>136</v>
      </c>
      <c r="J68" s="52">
        <f>+Julio!J68</f>
        <v>0</v>
      </c>
      <c r="K68" s="47">
        <f>+Julio!K68</f>
        <v>0</v>
      </c>
      <c r="L68" s="47">
        <f>+Julio!L68</f>
        <v>0</v>
      </c>
      <c r="M68" s="47">
        <f>+Julio!M68</f>
        <v>0</v>
      </c>
      <c r="N68" s="53">
        <f>+Julio!N68</f>
        <v>100</v>
      </c>
      <c r="O68" s="190">
        <f t="shared" si="7"/>
        <v>1</v>
      </c>
      <c r="P68" s="90"/>
      <c r="Q68" s="90"/>
      <c r="R68" s="90"/>
      <c r="S68" s="98"/>
    </row>
    <row r="69" spans="1:19" x14ac:dyDescent="0.25">
      <c r="A69" s="121" t="s">
        <v>137</v>
      </c>
      <c r="B69" s="122">
        <f>+Agosto!B69</f>
        <v>0</v>
      </c>
      <c r="C69" s="123">
        <f>+Agosto!C69</f>
        <v>0</v>
      </c>
      <c r="D69" s="123">
        <f>+Agosto!D69</f>
        <v>0</v>
      </c>
      <c r="E69" s="123">
        <f>+Agosto!E69</f>
        <v>0</v>
      </c>
      <c r="F69" s="124">
        <f>+Agosto!F69</f>
        <v>17.5</v>
      </c>
      <c r="G69" s="198">
        <f t="shared" si="8"/>
        <v>17.5</v>
      </c>
      <c r="H69" s="90"/>
      <c r="I69" s="195" t="s">
        <v>137</v>
      </c>
      <c r="J69" s="52">
        <f>+Agosto!J69</f>
        <v>0</v>
      </c>
      <c r="K69" s="47">
        <f>+Agosto!K69</f>
        <v>0</v>
      </c>
      <c r="L69" s="47">
        <f>+Agosto!L69</f>
        <v>0</v>
      </c>
      <c r="M69" s="47">
        <f>+Agosto!M69</f>
        <v>0</v>
      </c>
      <c r="N69" s="53">
        <f>+Agosto!N69</f>
        <v>100</v>
      </c>
      <c r="O69" s="190">
        <f t="shared" si="7"/>
        <v>1</v>
      </c>
      <c r="P69" s="90"/>
      <c r="Q69" s="90"/>
      <c r="R69" s="90"/>
      <c r="S69" s="98"/>
    </row>
    <row r="70" spans="1:19" x14ac:dyDescent="0.25">
      <c r="A70" s="121" t="s">
        <v>138</v>
      </c>
      <c r="B70" s="125">
        <f>+Septiembre!B70</f>
        <v>0</v>
      </c>
      <c r="C70" s="126">
        <f>+Septiembre!C70</f>
        <v>0</v>
      </c>
      <c r="D70" s="126">
        <f>+Septiembre!D70</f>
        <v>0</v>
      </c>
      <c r="E70" s="126">
        <f>+Septiembre!E70</f>
        <v>0</v>
      </c>
      <c r="F70" s="201">
        <f>+Septiembre!F70</f>
        <v>24</v>
      </c>
      <c r="G70" s="198">
        <f t="shared" si="8"/>
        <v>24</v>
      </c>
      <c r="H70" s="90"/>
      <c r="I70" s="195" t="s">
        <v>138</v>
      </c>
      <c r="J70" s="52">
        <f>+Septiembre!J70</f>
        <v>0</v>
      </c>
      <c r="K70" s="47">
        <f>+Septiembre!K70</f>
        <v>0</v>
      </c>
      <c r="L70" s="47">
        <f>+Septiembre!L70</f>
        <v>0</v>
      </c>
      <c r="M70" s="47">
        <f>+Septiembre!M70</f>
        <v>0</v>
      </c>
      <c r="N70" s="53">
        <f>+Septiembre!N70</f>
        <v>100</v>
      </c>
      <c r="O70" s="190">
        <f t="shared" si="7"/>
        <v>1</v>
      </c>
      <c r="P70" s="90"/>
      <c r="Q70" s="90"/>
      <c r="R70" s="90"/>
      <c r="S70" s="98"/>
    </row>
    <row r="71" spans="1:19" ht="15.75" thickBot="1" x14ac:dyDescent="0.3">
      <c r="A71" s="127" t="s">
        <v>139</v>
      </c>
      <c r="B71" s="128"/>
      <c r="C71" s="129">
        <v>0</v>
      </c>
      <c r="D71" s="129">
        <v>0</v>
      </c>
      <c r="E71" s="129">
        <v>0</v>
      </c>
      <c r="F71" s="159">
        <v>24.5</v>
      </c>
      <c r="G71" s="199">
        <f t="shared" si="8"/>
        <v>24.5</v>
      </c>
      <c r="H71" s="90"/>
      <c r="I71" s="119" t="s">
        <v>139</v>
      </c>
      <c r="J71" s="72">
        <f>(B71/$R$53)*100</f>
        <v>0</v>
      </c>
      <c r="K71" s="38">
        <f>(C71/$R$53)*100</f>
        <v>0</v>
      </c>
      <c r="L71" s="38">
        <f>(D71/$R$53)*100</f>
        <v>0</v>
      </c>
      <c r="M71" s="38">
        <f>(E71/$R$53)*100</f>
        <v>0</v>
      </c>
      <c r="N71" s="54">
        <f>(F71/$R$53)*100</f>
        <v>100</v>
      </c>
      <c r="O71" s="191">
        <f>SUM(J71:N71)/100</f>
        <v>1</v>
      </c>
      <c r="P71" s="90"/>
      <c r="Q71" s="90"/>
      <c r="R71" s="90"/>
      <c r="S71" s="98"/>
    </row>
    <row r="72" spans="1:19" x14ac:dyDescent="0.25">
      <c r="A72" s="97"/>
      <c r="B72" s="130"/>
      <c r="C72" s="130"/>
      <c r="D72" s="130"/>
      <c r="E72" s="130"/>
      <c r="F72" s="130"/>
      <c r="G72" s="90"/>
      <c r="H72" s="90"/>
      <c r="J72" s="131"/>
      <c r="K72" s="90"/>
      <c r="L72" s="90"/>
      <c r="M72" s="90"/>
      <c r="N72" s="90"/>
      <c r="O72" s="90"/>
      <c r="P72" s="90"/>
      <c r="Q72" s="90"/>
      <c r="R72" s="90"/>
      <c r="S72" s="98"/>
    </row>
    <row r="73" spans="1:19" x14ac:dyDescent="0.25">
      <c r="A73" s="97"/>
      <c r="B73" s="90"/>
      <c r="C73" s="90"/>
      <c r="D73" s="90"/>
      <c r="E73" s="90"/>
      <c r="F73" s="90"/>
      <c r="G73" s="90"/>
      <c r="H73" s="90"/>
      <c r="I73" s="131" t="s">
        <v>127</v>
      </c>
      <c r="J73" s="131"/>
      <c r="K73" s="90"/>
      <c r="L73" s="90"/>
      <c r="M73" s="90"/>
      <c r="N73" s="90"/>
      <c r="O73" s="90"/>
      <c r="P73" s="90"/>
      <c r="Q73" s="90"/>
      <c r="R73" s="90"/>
      <c r="S73" s="98"/>
    </row>
    <row r="74" spans="1:19" x14ac:dyDescent="0.25">
      <c r="A74" s="97"/>
      <c r="B74" s="90"/>
      <c r="C74" s="90"/>
      <c r="D74" s="90"/>
      <c r="E74" s="90"/>
      <c r="F74" s="90"/>
      <c r="G74" s="90"/>
      <c r="H74" s="90"/>
      <c r="I74" s="131" t="s">
        <v>128</v>
      </c>
      <c r="J74" s="131"/>
      <c r="K74" s="90"/>
      <c r="L74" s="90"/>
      <c r="M74" s="90"/>
      <c r="N74" s="90"/>
      <c r="O74" s="90"/>
      <c r="P74" s="90"/>
      <c r="Q74" s="90"/>
      <c r="R74" s="90"/>
      <c r="S74" s="98"/>
    </row>
    <row r="75" spans="1:19" x14ac:dyDescent="0.25">
      <c r="A75" s="97"/>
      <c r="B75" s="90"/>
      <c r="C75" s="90"/>
      <c r="D75" s="90"/>
      <c r="E75" s="90"/>
      <c r="F75" s="90"/>
      <c r="G75" s="90"/>
      <c r="H75" s="90"/>
      <c r="I75" s="131" t="s">
        <v>129</v>
      </c>
      <c r="J75" s="131"/>
      <c r="K75" s="90"/>
      <c r="L75" s="90"/>
      <c r="M75" s="90"/>
      <c r="N75" s="90"/>
      <c r="O75" s="90"/>
      <c r="P75" s="90"/>
      <c r="Q75" s="90"/>
      <c r="R75" s="90"/>
      <c r="S75" s="98"/>
    </row>
    <row r="76" spans="1:19" ht="15.75" thickBot="1" x14ac:dyDescent="0.3">
      <c r="A76" s="132"/>
      <c r="B76" s="93"/>
      <c r="C76" s="93"/>
      <c r="D76" s="93"/>
      <c r="E76" s="93"/>
      <c r="F76" s="93"/>
      <c r="G76" s="93"/>
      <c r="H76" s="93"/>
      <c r="I76" s="133" t="s">
        <v>130</v>
      </c>
      <c r="J76" s="133"/>
      <c r="K76" s="93"/>
      <c r="L76" s="93"/>
      <c r="M76" s="93"/>
      <c r="N76" s="93"/>
      <c r="O76" s="93"/>
      <c r="P76" s="93"/>
      <c r="Q76" s="93"/>
      <c r="R76" s="93"/>
      <c r="S76" s="134"/>
    </row>
  </sheetData>
  <sheetProtection algorithmName="SHA-512" hashValue="ZZ45TeVLibLa5ZWT9s+7cnJzkcZFu0UQ+NfQyhLWSs3Tbe0lTW9gpY0AFa7oU0dlkNkJO/b/qUk3474DIWrHKw==" saltValue="1KRsPIEAuEnWKtrsvnVfHg==" spinCount="100000" sheet="1" selectLockedCells="1"/>
  <mergeCells count="45">
    <mergeCell ref="J59:O59"/>
    <mergeCell ref="A60:A61"/>
    <mergeCell ref="B60:F60"/>
    <mergeCell ref="G60:G61"/>
    <mergeCell ref="I60:I61"/>
    <mergeCell ref="K60:N60"/>
    <mergeCell ref="O60:O61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71">
    <cfRule type="cellIs" dxfId="39" priority="11" operator="notEqual">
      <formula>$R$53</formula>
    </cfRule>
  </conditionalFormatting>
  <conditionalFormatting sqref="O62:O71">
    <cfRule type="cellIs" dxfId="38" priority="10" operator="notEqual">
      <formula>100%</formula>
    </cfRule>
  </conditionalFormatting>
  <pageMargins left="0.7" right="0.7" top="0.75" bottom="0.75" header="0.3" footer="0.3"/>
  <pageSetup paperSize="2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3730311D-4F55-48BE-91B1-C0E7F4BFC022}">
            <xm:f>Enero!R53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2" operator="notEqual" id="{89C59291-1374-4F0D-B3C6-D376C092C175}">
            <xm:f>Febrero!R53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3" operator="notEqual" id="{B600CBFB-87AF-4192-8FD2-A7A730EC991C}">
            <xm:f>Marzo!R53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4" operator="notEqual" id="{83BB83F9-D330-4042-888C-77FC4645D6E4}">
            <xm:f>Abril!R53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5" operator="notEqual" id="{4185DC8D-E8C7-4E28-8C20-632BD7D07729}">
            <xm:f>Mayo!R53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ellIs" priority="6" operator="notEqual" id="{918BD8F0-7BCE-4113-B408-97395036CC74}">
            <xm:f>Junio!R53</xm:f>
            <x14:dxf>
              <fill>
                <patternFill>
                  <bgColor rgb="FFFF0000"/>
                </patternFill>
              </fill>
            </x14:dxf>
          </x14:cfRule>
          <xm:sqref>G67</xm:sqref>
        </x14:conditionalFormatting>
        <x14:conditionalFormatting xmlns:xm="http://schemas.microsoft.com/office/excel/2006/main">
          <x14:cfRule type="cellIs" priority="7" operator="notEqual" id="{D401D621-E4F8-4C57-87F8-F25D77DE19B6}">
            <xm:f>Julio!R53</xm:f>
            <x14:dxf>
              <fill>
                <patternFill>
                  <bgColor rgb="FFFF0000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cellIs" priority="8" operator="notEqual" id="{4AC1FB67-FF47-4B3A-A3A4-BE610D66DB75}">
            <xm:f>Agosto!R53</xm:f>
            <x14:dxf>
              <fill>
                <patternFill>
                  <bgColor rgb="FFFF0000"/>
                </patternFill>
              </fill>
            </x14:dxf>
          </x14:cfRule>
          <xm:sqref>G69</xm:sqref>
        </x14:conditionalFormatting>
        <x14:conditionalFormatting xmlns:xm="http://schemas.microsoft.com/office/excel/2006/main">
          <x14:cfRule type="cellIs" priority="9" operator="notEqual" id="{1F37C53D-7228-4E6C-A5ED-ABF2E46CD4E2}">
            <xm:f>Septiembre!R53</xm:f>
            <x14:dxf>
              <fill>
                <patternFill>
                  <bgColor rgb="FFFF0000"/>
                </patternFill>
              </fill>
            </x14:dxf>
          </x14:cfRule>
          <xm:sqref>G70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731C-E1A9-4EFD-AE8C-534E1E100EC8}">
  <dimension ref="A1:V77"/>
  <sheetViews>
    <sheetView showGridLines="0" tabSelected="1" zoomScale="70" zoomScaleNormal="70" workbookViewId="0">
      <selection activeCell="D10" sqref="D10:J10"/>
    </sheetView>
  </sheetViews>
  <sheetFormatPr baseColWidth="10" defaultColWidth="0" defaultRowHeight="15" customHeight="1" zeroHeight="1" x14ac:dyDescent="0.25"/>
  <cols>
    <col min="1" max="1" width="17.85546875" style="88" bestFit="1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3.5703125" style="88" bestFit="1" customWidth="1"/>
    <col min="19" max="20" width="11.42578125" style="88" customWidth="1"/>
    <col min="21" max="21" width="9.42578125" style="88" hidden="1" customWidth="1"/>
    <col min="22" max="22" width="0" style="88" hidden="1" customWidth="1"/>
    <col min="23" max="16384" width="11.42578125" style="88" hidden="1"/>
  </cols>
  <sheetData>
    <row r="1" spans="1:19" x14ac:dyDescent="0.25">
      <c r="A1" s="310"/>
      <c r="B1" s="311"/>
      <c r="C1" s="311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12"/>
      <c r="B2" s="313"/>
      <c r="C2" s="313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12"/>
      <c r="B3" s="313"/>
      <c r="C3" s="313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12"/>
      <c r="B4" s="313"/>
      <c r="C4" s="313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12"/>
      <c r="B5" s="313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12"/>
      <c r="B6" s="313"/>
      <c r="C6" s="313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03" t="s">
        <v>81</v>
      </c>
      <c r="B7" s="304"/>
      <c r="C7" s="304"/>
      <c r="D7" s="305" t="s">
        <v>172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03" t="s">
        <v>83</v>
      </c>
      <c r="B8" s="304"/>
      <c r="C8" s="304"/>
      <c r="D8" s="305" t="s">
        <v>156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169</v>
      </c>
      <c r="O8" s="308"/>
      <c r="P8" s="308"/>
      <c r="Q8" s="308"/>
      <c r="R8" s="308"/>
      <c r="S8" s="309"/>
    </row>
    <row r="9" spans="1:19" x14ac:dyDescent="0.25">
      <c r="A9" s="303" t="s">
        <v>85</v>
      </c>
      <c r="B9" s="304"/>
      <c r="C9" s="304"/>
      <c r="D9" s="305" t="s">
        <v>164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166</v>
      </c>
      <c r="O9" s="308"/>
      <c r="P9" s="308"/>
      <c r="Q9" s="308"/>
      <c r="R9" s="308"/>
      <c r="S9" s="309"/>
    </row>
    <row r="10" spans="1:19" x14ac:dyDescent="0.25">
      <c r="A10" s="303" t="s">
        <v>87</v>
      </c>
      <c r="B10" s="304"/>
      <c r="C10" s="304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181</v>
      </c>
      <c r="O10" s="308"/>
      <c r="P10" s="308"/>
      <c r="Q10" s="308"/>
      <c r="R10" s="308"/>
      <c r="S10" s="309"/>
    </row>
    <row r="11" spans="1:19" x14ac:dyDescent="0.25">
      <c r="A11" s="266" t="s">
        <v>89</v>
      </c>
      <c r="B11" s="267"/>
      <c r="C11" s="267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97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97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274" t="s">
        <v>91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98"/>
    </row>
    <row r="17" spans="1:19" ht="15.75" thickBot="1" x14ac:dyDescent="0.3">
      <c r="A17" s="277"/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9"/>
      <c r="S17" s="98"/>
    </row>
    <row r="18" spans="1:19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19" customFormat="1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</row>
    <row r="20" spans="1:19" customFormat="1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</row>
    <row r="21" spans="1:19" customFormat="1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</row>
    <row r="22" spans="1:19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19" x14ac:dyDescent="0.25">
      <c r="A23" s="4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19" x14ac:dyDescent="0.25">
      <c r="A24" s="4">
        <v>3</v>
      </c>
      <c r="B24" s="86"/>
      <c r="C24" s="87"/>
      <c r="D24" s="87"/>
      <c r="E24" s="103">
        <f t="shared" si="0"/>
        <v>0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0</v>
      </c>
      <c r="S24" s="98"/>
    </row>
    <row r="25" spans="1:19" x14ac:dyDescent="0.25">
      <c r="A25" s="4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19" x14ac:dyDescent="0.25">
      <c r="A26" s="4">
        <v>5</v>
      </c>
      <c r="B26" s="86"/>
      <c r="C26" s="87"/>
      <c r="D26" s="87"/>
      <c r="E26" s="103">
        <f t="shared" si="0"/>
        <v>0</v>
      </c>
      <c r="F26" s="86"/>
      <c r="G26" s="87"/>
      <c r="H26" s="87"/>
      <c r="I26" s="87"/>
      <c r="J26" s="103">
        <f t="shared" si="1"/>
        <v>0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</v>
      </c>
      <c r="R26" s="91">
        <f t="shared" si="4"/>
        <v>0</v>
      </c>
      <c r="S26" s="98"/>
    </row>
    <row r="27" spans="1:19" x14ac:dyDescent="0.25">
      <c r="A27" s="4">
        <v>6</v>
      </c>
      <c r="B27" s="86"/>
      <c r="C27" s="87"/>
      <c r="D27" s="87"/>
      <c r="E27" s="103">
        <f t="shared" si="0"/>
        <v>0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0</v>
      </c>
      <c r="S27" s="98"/>
    </row>
    <row r="28" spans="1:19" x14ac:dyDescent="0.25">
      <c r="A28" s="4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19" x14ac:dyDescent="0.25">
      <c r="A29" s="4">
        <v>8</v>
      </c>
      <c r="B29" s="86"/>
      <c r="C29" s="87"/>
      <c r="D29" s="87"/>
      <c r="E29" s="103">
        <f t="shared" si="0"/>
        <v>0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0</v>
      </c>
      <c r="S29" s="98"/>
    </row>
    <row r="30" spans="1:19" x14ac:dyDescent="0.25">
      <c r="A30" s="4">
        <v>9</v>
      </c>
      <c r="B30" s="86"/>
      <c r="C30" s="87"/>
      <c r="D30" s="87"/>
      <c r="E30" s="103">
        <f t="shared" si="0"/>
        <v>0</v>
      </c>
      <c r="F30" s="86"/>
      <c r="G30" s="87"/>
      <c r="H30" s="87"/>
      <c r="I30" s="87"/>
      <c r="J30" s="103">
        <f t="shared" si="1"/>
        <v>0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</v>
      </c>
      <c r="R30" s="91">
        <f t="shared" si="4"/>
        <v>0</v>
      </c>
      <c r="S30" s="98"/>
    </row>
    <row r="31" spans="1:19" x14ac:dyDescent="0.25">
      <c r="A31" s="4">
        <v>10</v>
      </c>
      <c r="B31" s="86"/>
      <c r="C31" s="87"/>
      <c r="D31" s="87">
        <v>8.6999999999999993</v>
      </c>
      <c r="E31" s="103">
        <f t="shared" si="0"/>
        <v>8.6999999999999993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8.6999999999999993</v>
      </c>
      <c r="S31" s="98"/>
    </row>
    <row r="32" spans="1:19" x14ac:dyDescent="0.25">
      <c r="A32" s="4">
        <v>11</v>
      </c>
      <c r="B32" s="86"/>
      <c r="C32" s="87"/>
      <c r="D32" s="87"/>
      <c r="E32" s="103">
        <f t="shared" si="0"/>
        <v>0</v>
      </c>
      <c r="F32" s="86"/>
      <c r="G32" s="87"/>
      <c r="H32" s="87"/>
      <c r="I32" s="87"/>
      <c r="J32" s="103">
        <f t="shared" si="1"/>
        <v>0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</v>
      </c>
      <c r="R32" s="91">
        <f t="shared" si="4"/>
        <v>0</v>
      </c>
      <c r="S32" s="98"/>
    </row>
    <row r="33" spans="1:19" x14ac:dyDescent="0.25">
      <c r="A33" s="4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4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4">
        <v>14</v>
      </c>
      <c r="B35" s="86"/>
      <c r="C35" s="87"/>
      <c r="D35" s="87"/>
      <c r="E35" s="103">
        <f t="shared" si="0"/>
        <v>0</v>
      </c>
      <c r="F35" s="86"/>
      <c r="G35" s="87"/>
      <c r="H35" s="87"/>
      <c r="I35" s="87"/>
      <c r="J35" s="103">
        <f t="shared" si="1"/>
        <v>0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0</v>
      </c>
      <c r="R35" s="91">
        <f t="shared" si="4"/>
        <v>0</v>
      </c>
      <c r="S35" s="98"/>
    </row>
    <row r="36" spans="1:19" x14ac:dyDescent="0.25">
      <c r="A36" s="4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4">
        <v>16</v>
      </c>
      <c r="B37" s="86"/>
      <c r="C37" s="87"/>
      <c r="D37" s="87"/>
      <c r="E37" s="103">
        <f t="shared" si="0"/>
        <v>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0</v>
      </c>
      <c r="S37" s="98"/>
    </row>
    <row r="38" spans="1:19" x14ac:dyDescent="0.25">
      <c r="A38" s="4">
        <v>17</v>
      </c>
      <c r="B38" s="86"/>
      <c r="C38" s="87"/>
      <c r="D38" s="87"/>
      <c r="E38" s="103">
        <f t="shared" si="0"/>
        <v>0</v>
      </c>
      <c r="F38" s="86"/>
      <c r="G38" s="87"/>
      <c r="H38" s="87"/>
      <c r="I38" s="87"/>
      <c r="J38" s="103">
        <f t="shared" si="1"/>
        <v>0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0</v>
      </c>
      <c r="R38" s="91">
        <f t="shared" si="4"/>
        <v>0</v>
      </c>
      <c r="S38" s="98"/>
    </row>
    <row r="39" spans="1:19" x14ac:dyDescent="0.25">
      <c r="A39" s="4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4">
        <v>19</v>
      </c>
      <c r="B40" s="86"/>
      <c r="C40" s="87"/>
      <c r="D40" s="87"/>
      <c r="E40" s="103">
        <f t="shared" si="0"/>
        <v>0</v>
      </c>
      <c r="F40" s="86"/>
      <c r="G40" s="87"/>
      <c r="H40" s="87"/>
      <c r="I40" s="87"/>
      <c r="J40" s="103">
        <f t="shared" si="1"/>
        <v>0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</v>
      </c>
      <c r="R40" s="91">
        <f t="shared" si="4"/>
        <v>0</v>
      </c>
      <c r="S40" s="98"/>
    </row>
    <row r="41" spans="1:19" x14ac:dyDescent="0.25">
      <c r="A41" s="4">
        <v>20</v>
      </c>
      <c r="B41" s="86"/>
      <c r="C41" s="87"/>
      <c r="D41" s="87"/>
      <c r="E41" s="103">
        <f t="shared" si="0"/>
        <v>0</v>
      </c>
      <c r="F41" s="86"/>
      <c r="G41" s="87"/>
      <c r="H41" s="87"/>
      <c r="I41" s="87"/>
      <c r="J41" s="103">
        <f t="shared" si="1"/>
        <v>0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0</v>
      </c>
      <c r="R41" s="91">
        <f t="shared" si="4"/>
        <v>0</v>
      </c>
      <c r="S41" s="98"/>
    </row>
    <row r="42" spans="1:19" x14ac:dyDescent="0.25">
      <c r="A42" s="4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4">
        <v>22</v>
      </c>
      <c r="B43" s="86"/>
      <c r="C43" s="87"/>
      <c r="D43" s="87"/>
      <c r="E43" s="103">
        <f t="shared" si="0"/>
        <v>0</v>
      </c>
      <c r="F43" s="86"/>
      <c r="G43" s="87"/>
      <c r="H43" s="87"/>
      <c r="I43" s="87"/>
      <c r="J43" s="103">
        <f t="shared" si="1"/>
        <v>0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</v>
      </c>
      <c r="R43" s="91">
        <f t="shared" si="4"/>
        <v>0</v>
      </c>
      <c r="S43" s="98"/>
    </row>
    <row r="44" spans="1:19" x14ac:dyDescent="0.25">
      <c r="A44" s="4">
        <v>23</v>
      </c>
      <c r="B44" s="86"/>
      <c r="C44" s="87"/>
      <c r="D44" s="87"/>
      <c r="E44" s="103">
        <f t="shared" si="0"/>
        <v>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0</v>
      </c>
      <c r="S44" s="98"/>
    </row>
    <row r="45" spans="1:19" x14ac:dyDescent="0.25">
      <c r="A45" s="4">
        <v>24</v>
      </c>
      <c r="B45" s="86"/>
      <c r="C45" s="87"/>
      <c r="D45" s="87">
        <v>18</v>
      </c>
      <c r="E45" s="103">
        <f t="shared" si="0"/>
        <v>18</v>
      </c>
      <c r="F45" s="86"/>
      <c r="G45" s="87"/>
      <c r="H45" s="87">
        <v>1.7</v>
      </c>
      <c r="I45" s="87"/>
      <c r="J45" s="103">
        <f t="shared" si="1"/>
        <v>1.7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1.7</v>
      </c>
      <c r="R45" s="91">
        <f t="shared" si="4"/>
        <v>19.7</v>
      </c>
      <c r="S45" s="98"/>
    </row>
    <row r="46" spans="1:19" x14ac:dyDescent="0.25">
      <c r="A46" s="4">
        <v>25</v>
      </c>
      <c r="B46" s="86"/>
      <c r="C46" s="87"/>
      <c r="D46" s="87"/>
      <c r="E46" s="103">
        <f t="shared" si="0"/>
        <v>0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0</v>
      </c>
      <c r="S46" s="98"/>
    </row>
    <row r="47" spans="1:19" x14ac:dyDescent="0.25">
      <c r="A47" s="4">
        <v>26</v>
      </c>
      <c r="B47" s="86"/>
      <c r="C47" s="87"/>
      <c r="D47" s="87"/>
      <c r="E47" s="103">
        <f t="shared" si="0"/>
        <v>0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0</v>
      </c>
      <c r="S47" s="98"/>
    </row>
    <row r="48" spans="1:19" x14ac:dyDescent="0.25">
      <c r="A48" s="4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4">
        <v>28</v>
      </c>
      <c r="B49" s="86"/>
      <c r="C49" s="87"/>
      <c r="D49" s="87"/>
      <c r="E49" s="103">
        <f t="shared" si="0"/>
        <v>0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0</v>
      </c>
      <c r="S49" s="98"/>
    </row>
    <row r="50" spans="1:19" x14ac:dyDescent="0.25">
      <c r="A50" s="4">
        <v>29</v>
      </c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4">
        <v>30</v>
      </c>
      <c r="B51" s="86"/>
      <c r="C51" s="87"/>
      <c r="D51" s="87"/>
      <c r="E51" s="103">
        <f t="shared" si="0"/>
        <v>0</v>
      </c>
      <c r="F51" s="86"/>
      <c r="G51" s="87"/>
      <c r="H51" s="87"/>
      <c r="I51" s="87"/>
      <c r="J51" s="103">
        <f t="shared" si="1"/>
        <v>0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0</v>
      </c>
      <c r="R51" s="91">
        <f t="shared" si="4"/>
        <v>0</v>
      </c>
      <c r="S51" s="98"/>
    </row>
    <row r="52" spans="1:19" ht="15.75" thickBot="1" x14ac:dyDescent="0.3">
      <c r="A52" s="5"/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s="177" customFormat="1" ht="15.75" thickBot="1" x14ac:dyDescent="0.3">
      <c r="A53" s="176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26.7</v>
      </c>
      <c r="E53" s="170">
        <f>+SUM(E22:E52)</f>
        <v>26.7</v>
      </c>
      <c r="F53" s="168">
        <f t="shared" ref="F53:Q53" si="6">+SUM(F22:F52)</f>
        <v>0</v>
      </c>
      <c r="G53" s="169">
        <f t="shared" si="6"/>
        <v>0</v>
      </c>
      <c r="H53" s="169">
        <f t="shared" si="6"/>
        <v>1.7</v>
      </c>
      <c r="I53" s="169">
        <f t="shared" si="6"/>
        <v>0</v>
      </c>
      <c r="J53" s="170">
        <f t="shared" si="6"/>
        <v>1.7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 t="shared" si="6"/>
        <v>0</v>
      </c>
      <c r="Q53" s="173">
        <f t="shared" si="6"/>
        <v>1.7</v>
      </c>
      <c r="R53" s="174">
        <f>+SUM(R22:R52)</f>
        <v>28.4</v>
      </c>
      <c r="S53" s="175">
        <f>+E53+Q53</f>
        <v>28.4</v>
      </c>
    </row>
    <row r="54" spans="1:19" x14ac:dyDescent="0.25">
      <c r="A54" s="9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9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264" t="s">
        <v>111</v>
      </c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R56" s="90"/>
      <c r="S56" s="98"/>
    </row>
    <row r="57" spans="1:19" x14ac:dyDescent="0.25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R57" s="90"/>
      <c r="S57" s="98"/>
    </row>
    <row r="58" spans="1:19" ht="15.75" thickBot="1" x14ac:dyDescent="0.3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250">
        <v>33</v>
      </c>
      <c r="K59" s="251"/>
      <c r="L59" s="251"/>
      <c r="M59" s="251"/>
      <c r="N59" s="251"/>
      <c r="O59" s="252"/>
      <c r="R59" s="166"/>
      <c r="S59" s="142"/>
    </row>
    <row r="60" spans="1:19" ht="15.75" thickBot="1" x14ac:dyDescent="0.3">
      <c r="A60" s="248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257" t="s">
        <v>112</v>
      </c>
      <c r="J60" s="107"/>
      <c r="K60" s="259" t="s">
        <v>114</v>
      </c>
      <c r="L60" s="260"/>
      <c r="M60" s="260"/>
      <c r="N60" s="261"/>
      <c r="O60" s="262" t="s">
        <v>115</v>
      </c>
      <c r="R60" s="92"/>
      <c r="S60" s="98"/>
    </row>
    <row r="61" spans="1:19" ht="60.75" thickBot="1" x14ac:dyDescent="0.3">
      <c r="A61" s="336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337"/>
      <c r="J61" s="179" t="s">
        <v>121</v>
      </c>
      <c r="K61" s="112" t="s">
        <v>122</v>
      </c>
      <c r="L61" s="110" t="s">
        <v>123</v>
      </c>
      <c r="M61" s="110" t="s">
        <v>124</v>
      </c>
      <c r="N61" s="111" t="s">
        <v>125</v>
      </c>
      <c r="O61" s="338"/>
      <c r="R61" s="92"/>
      <c r="S61" s="98"/>
    </row>
    <row r="62" spans="1:19" x14ac:dyDescent="0.25">
      <c r="A62" s="113" t="s">
        <v>126</v>
      </c>
      <c r="B62" s="114">
        <f>+Enero!B62</f>
        <v>0</v>
      </c>
      <c r="C62" s="115">
        <f>+Enero!C62</f>
        <v>0</v>
      </c>
      <c r="D62" s="115">
        <f>+Enero!D62</f>
        <v>0</v>
      </c>
      <c r="E62" s="116">
        <f>+Enero!E62</f>
        <v>0</v>
      </c>
      <c r="F62" s="200">
        <f>+Enero!F62</f>
        <v>13.7</v>
      </c>
      <c r="G62" s="197">
        <f>SUM(B62:F62)</f>
        <v>13.7</v>
      </c>
      <c r="H62" s="92"/>
      <c r="I62" s="194" t="s">
        <v>126</v>
      </c>
      <c r="J62" s="49">
        <f>+Enero!J62</f>
        <v>0</v>
      </c>
      <c r="K62" s="50">
        <f>+Enero!K62</f>
        <v>0</v>
      </c>
      <c r="L62" s="50">
        <f>+Enero!L62</f>
        <v>0</v>
      </c>
      <c r="M62" s="50">
        <f>+Enero!M62</f>
        <v>0</v>
      </c>
      <c r="N62" s="51">
        <f>+Enero!N62</f>
        <v>100</v>
      </c>
      <c r="O62" s="196">
        <f t="shared" ref="O62:O71" si="7">SUM(J62:N62)/100</f>
        <v>1</v>
      </c>
      <c r="R62" s="92"/>
      <c r="S62" s="98"/>
    </row>
    <row r="63" spans="1:19" x14ac:dyDescent="0.25">
      <c r="A63" s="121" t="s">
        <v>131</v>
      </c>
      <c r="B63" s="122">
        <f>+Febrero!B63</f>
        <v>0</v>
      </c>
      <c r="C63" s="123">
        <f>+Febrero!C63</f>
        <v>0</v>
      </c>
      <c r="D63" s="123">
        <f>+Febrero!D63</f>
        <v>0</v>
      </c>
      <c r="E63" s="123">
        <f>+Febrero!E63</f>
        <v>0</v>
      </c>
      <c r="F63" s="124">
        <f>+Febrero!F63</f>
        <v>20.85</v>
      </c>
      <c r="G63" s="198">
        <f>+SUM(B63:F63)</f>
        <v>20.85</v>
      </c>
      <c r="H63" s="90"/>
      <c r="I63" s="195" t="s">
        <v>131</v>
      </c>
      <c r="J63" s="52">
        <f>+Febrero!J63</f>
        <v>0</v>
      </c>
      <c r="K63" s="47">
        <f>+Febrero!K63</f>
        <v>0</v>
      </c>
      <c r="L63" s="47">
        <f>+Febrero!L63</f>
        <v>0</v>
      </c>
      <c r="M63" s="47">
        <f>+Febrero!M63</f>
        <v>0</v>
      </c>
      <c r="N63" s="53">
        <f>+Febrero!N63</f>
        <v>100</v>
      </c>
      <c r="O63" s="190">
        <f t="shared" si="7"/>
        <v>1</v>
      </c>
      <c r="P63" s="90"/>
      <c r="Q63" s="90"/>
      <c r="R63" s="90"/>
      <c r="S63" s="98"/>
    </row>
    <row r="64" spans="1:19" x14ac:dyDescent="0.25">
      <c r="A64" s="121" t="s">
        <v>132</v>
      </c>
      <c r="B64" s="122">
        <f>+Marzo!B64</f>
        <v>0</v>
      </c>
      <c r="C64" s="123">
        <f>+Marzo!C64</f>
        <v>0</v>
      </c>
      <c r="D64" s="123">
        <f>+Marzo!D64</f>
        <v>0</v>
      </c>
      <c r="E64" s="123">
        <f>+Marzo!E64</f>
        <v>0</v>
      </c>
      <c r="F64" s="124">
        <f>+Marzo!F64</f>
        <v>21.9</v>
      </c>
      <c r="G64" s="198">
        <f t="shared" ref="G64:G72" si="8">+SUM(B64:F64)</f>
        <v>21.9</v>
      </c>
      <c r="H64" s="90"/>
      <c r="I64" s="195" t="s">
        <v>132</v>
      </c>
      <c r="J64" s="52">
        <f>+Marzo!J64</f>
        <v>0</v>
      </c>
      <c r="K64" s="47">
        <f>+Marzo!K64</f>
        <v>0</v>
      </c>
      <c r="L64" s="47">
        <f>+Marzo!L64</f>
        <v>0</v>
      </c>
      <c r="M64" s="47">
        <f>+Marzo!M64</f>
        <v>0</v>
      </c>
      <c r="N64" s="53">
        <f>+Marzo!N64</f>
        <v>100</v>
      </c>
      <c r="O64" s="190">
        <f t="shared" si="7"/>
        <v>1</v>
      </c>
      <c r="P64" s="90"/>
      <c r="Q64" s="90"/>
      <c r="R64" s="90"/>
      <c r="S64" s="98"/>
    </row>
    <row r="65" spans="1:19" x14ac:dyDescent="0.25">
      <c r="A65" s="121" t="s">
        <v>133</v>
      </c>
      <c r="B65" s="122">
        <f>+Abril!B65</f>
        <v>0</v>
      </c>
      <c r="C65" s="123">
        <f>+Abril!C65</f>
        <v>0</v>
      </c>
      <c r="D65" s="123">
        <f>+Abril!D65</f>
        <v>0</v>
      </c>
      <c r="E65" s="123">
        <f>+Abril!E65</f>
        <v>0</v>
      </c>
      <c r="F65" s="124">
        <f>+Abril!F65</f>
        <v>34.9</v>
      </c>
      <c r="G65" s="198">
        <f t="shared" si="8"/>
        <v>34.9</v>
      </c>
      <c r="H65" s="90"/>
      <c r="I65" s="195" t="s">
        <v>133</v>
      </c>
      <c r="J65" s="52">
        <f>+Abril!J65</f>
        <v>0</v>
      </c>
      <c r="K65" s="47">
        <f>+Abril!K65</f>
        <v>0</v>
      </c>
      <c r="L65" s="47">
        <f>+Abril!L65</f>
        <v>0</v>
      </c>
      <c r="M65" s="47">
        <f>+Abril!M65</f>
        <v>0</v>
      </c>
      <c r="N65" s="53">
        <f>+Abril!N65</f>
        <v>99.999999999999972</v>
      </c>
      <c r="O65" s="190">
        <f t="shared" si="7"/>
        <v>0.99999999999999967</v>
      </c>
      <c r="P65" s="90"/>
      <c r="Q65" s="90"/>
      <c r="R65" s="90"/>
      <c r="S65" s="98"/>
    </row>
    <row r="66" spans="1:19" x14ac:dyDescent="0.25">
      <c r="A66" s="121" t="s">
        <v>134</v>
      </c>
      <c r="B66" s="122">
        <f>+Mayo!B66</f>
        <v>0</v>
      </c>
      <c r="C66" s="123">
        <f>+Mayo!C66</f>
        <v>0</v>
      </c>
      <c r="D66" s="123">
        <f>+Mayo!D66</f>
        <v>0</v>
      </c>
      <c r="E66" s="123">
        <f>+Mayo!E66</f>
        <v>0</v>
      </c>
      <c r="F66" s="124">
        <f>+Mayo!F66</f>
        <v>17.5</v>
      </c>
      <c r="G66" s="198">
        <f t="shared" si="8"/>
        <v>17.5</v>
      </c>
      <c r="H66" s="90"/>
      <c r="I66" s="195" t="s">
        <v>134</v>
      </c>
      <c r="J66" s="52">
        <f>+Mayo!J66</f>
        <v>0</v>
      </c>
      <c r="K66" s="47">
        <f>+Mayo!K66</f>
        <v>0</v>
      </c>
      <c r="L66" s="47">
        <f>+Mayo!L66</f>
        <v>0</v>
      </c>
      <c r="M66" s="47">
        <f>+Mayo!M66</f>
        <v>0</v>
      </c>
      <c r="N66" s="53">
        <f>+Mayo!N66</f>
        <v>100</v>
      </c>
      <c r="O66" s="190">
        <f t="shared" si="7"/>
        <v>1</v>
      </c>
      <c r="P66" s="90"/>
      <c r="Q66" s="90"/>
      <c r="R66" s="90"/>
      <c r="S66" s="98"/>
    </row>
    <row r="67" spans="1:19" x14ac:dyDescent="0.25">
      <c r="A67" s="121" t="s">
        <v>135</v>
      </c>
      <c r="B67" s="122">
        <f>+Junio!B67</f>
        <v>0</v>
      </c>
      <c r="C67" s="123">
        <f>+Junio!C67</f>
        <v>0</v>
      </c>
      <c r="D67" s="123">
        <f>+Junio!D67</f>
        <v>0</v>
      </c>
      <c r="E67" s="123">
        <f>+Junio!E67</f>
        <v>0</v>
      </c>
      <c r="F67" s="124">
        <f>+Junio!F67</f>
        <v>20.8</v>
      </c>
      <c r="G67" s="198">
        <f t="shared" si="8"/>
        <v>20.8</v>
      </c>
      <c r="H67" s="90"/>
      <c r="I67" s="195" t="s">
        <v>135</v>
      </c>
      <c r="J67" s="52">
        <f>+Junio!J67</f>
        <v>0</v>
      </c>
      <c r="K67" s="47">
        <f>+Junio!K67</f>
        <v>0</v>
      </c>
      <c r="L67" s="47">
        <f>+Junio!L67</f>
        <v>0</v>
      </c>
      <c r="M67" s="47">
        <f>+Junio!M67</f>
        <v>0</v>
      </c>
      <c r="N67" s="53">
        <f>+Junio!N67</f>
        <v>100</v>
      </c>
      <c r="O67" s="190">
        <f t="shared" si="7"/>
        <v>1</v>
      </c>
      <c r="P67" s="90"/>
      <c r="Q67" s="90"/>
      <c r="R67" s="90"/>
      <c r="S67" s="98"/>
    </row>
    <row r="68" spans="1:19" x14ac:dyDescent="0.25">
      <c r="A68" s="121" t="s">
        <v>136</v>
      </c>
      <c r="B68" s="122">
        <f>+Julio!B68</f>
        <v>0</v>
      </c>
      <c r="C68" s="123">
        <f>+Julio!C68</f>
        <v>0</v>
      </c>
      <c r="D68" s="123">
        <f>+Julio!D68</f>
        <v>0</v>
      </c>
      <c r="E68" s="123">
        <f>+Julio!E68</f>
        <v>0</v>
      </c>
      <c r="F68" s="124">
        <f>+Julio!F68</f>
        <v>19.5</v>
      </c>
      <c r="G68" s="198">
        <f t="shared" si="8"/>
        <v>19.5</v>
      </c>
      <c r="H68" s="90"/>
      <c r="I68" s="195" t="s">
        <v>136</v>
      </c>
      <c r="J68" s="52">
        <f>+Julio!J68</f>
        <v>0</v>
      </c>
      <c r="K68" s="47">
        <f>+Julio!K68</f>
        <v>0</v>
      </c>
      <c r="L68" s="47">
        <f>+Julio!L68</f>
        <v>0</v>
      </c>
      <c r="M68" s="47">
        <f>+Julio!M68</f>
        <v>0</v>
      </c>
      <c r="N68" s="53">
        <f>+Julio!N68</f>
        <v>100</v>
      </c>
      <c r="O68" s="190">
        <f t="shared" si="7"/>
        <v>1</v>
      </c>
      <c r="P68" s="90"/>
      <c r="Q68" s="90"/>
      <c r="R68" s="90"/>
      <c r="S68" s="98"/>
    </row>
    <row r="69" spans="1:19" x14ac:dyDescent="0.25">
      <c r="A69" s="121" t="s">
        <v>137</v>
      </c>
      <c r="B69" s="122">
        <f>+Agosto!B69</f>
        <v>0</v>
      </c>
      <c r="C69" s="123">
        <f>+Agosto!C69</f>
        <v>0</v>
      </c>
      <c r="D69" s="123">
        <f>+Agosto!D69</f>
        <v>0</v>
      </c>
      <c r="E69" s="123">
        <f>+Agosto!E69</f>
        <v>0</v>
      </c>
      <c r="F69" s="124">
        <f>+Agosto!F69</f>
        <v>17.5</v>
      </c>
      <c r="G69" s="198">
        <f t="shared" si="8"/>
        <v>17.5</v>
      </c>
      <c r="H69" s="90"/>
      <c r="I69" s="195" t="s">
        <v>137</v>
      </c>
      <c r="J69" s="52">
        <f>+Agosto!J69</f>
        <v>0</v>
      </c>
      <c r="K69" s="47">
        <f>+Agosto!K69</f>
        <v>0</v>
      </c>
      <c r="L69" s="47">
        <f>+Agosto!L69</f>
        <v>0</v>
      </c>
      <c r="M69" s="47">
        <f>+Agosto!M69</f>
        <v>0</v>
      </c>
      <c r="N69" s="53">
        <f>+Agosto!N69</f>
        <v>100</v>
      </c>
      <c r="O69" s="190">
        <f t="shared" si="7"/>
        <v>1</v>
      </c>
      <c r="P69" s="90"/>
      <c r="Q69" s="90"/>
      <c r="R69" s="90"/>
      <c r="S69" s="98"/>
    </row>
    <row r="70" spans="1:19" x14ac:dyDescent="0.25">
      <c r="A70" s="121" t="s">
        <v>138</v>
      </c>
      <c r="B70" s="125">
        <f>+Septiembre!B70</f>
        <v>0</v>
      </c>
      <c r="C70" s="126">
        <f>+Septiembre!C70</f>
        <v>0</v>
      </c>
      <c r="D70" s="126">
        <f>+Septiembre!D70</f>
        <v>0</v>
      </c>
      <c r="E70" s="126">
        <f>+Septiembre!E70</f>
        <v>0</v>
      </c>
      <c r="F70" s="201">
        <f>+Septiembre!F70</f>
        <v>24</v>
      </c>
      <c r="G70" s="198">
        <f t="shared" si="8"/>
        <v>24</v>
      </c>
      <c r="H70" s="90"/>
      <c r="I70" s="195" t="s">
        <v>138</v>
      </c>
      <c r="J70" s="52">
        <f>+Septiembre!J70</f>
        <v>0</v>
      </c>
      <c r="K70" s="47">
        <f>+Septiembre!K70</f>
        <v>0</v>
      </c>
      <c r="L70" s="47">
        <f>+Septiembre!L70</f>
        <v>0</v>
      </c>
      <c r="M70" s="47">
        <f>+Septiembre!M70</f>
        <v>0</v>
      </c>
      <c r="N70" s="53">
        <f>+Septiembre!N70</f>
        <v>100</v>
      </c>
      <c r="O70" s="190">
        <f t="shared" si="7"/>
        <v>1</v>
      </c>
      <c r="P70" s="90"/>
      <c r="Q70" s="90"/>
      <c r="R70" s="90"/>
      <c r="S70" s="98"/>
    </row>
    <row r="71" spans="1:19" x14ac:dyDescent="0.25">
      <c r="A71" s="121" t="s">
        <v>139</v>
      </c>
      <c r="B71" s="122">
        <f>+Octubre!B71</f>
        <v>0</v>
      </c>
      <c r="C71" s="123">
        <f>+Octubre!C71</f>
        <v>0</v>
      </c>
      <c r="D71" s="123">
        <f>+Octubre!D71</f>
        <v>0</v>
      </c>
      <c r="E71" s="123">
        <f>+Octubre!E71</f>
        <v>0</v>
      </c>
      <c r="F71" s="124">
        <f>+Octubre!F71</f>
        <v>24.5</v>
      </c>
      <c r="G71" s="198">
        <f t="shared" si="8"/>
        <v>24.5</v>
      </c>
      <c r="H71" s="90"/>
      <c r="I71" s="195" t="s">
        <v>139</v>
      </c>
      <c r="J71" s="52">
        <f>+Octubre!J71</f>
        <v>0</v>
      </c>
      <c r="K71" s="47">
        <f>+Octubre!K71</f>
        <v>0</v>
      </c>
      <c r="L71" s="47">
        <f>+Octubre!L71</f>
        <v>0</v>
      </c>
      <c r="M71" s="47">
        <f>+Octubre!M71</f>
        <v>0</v>
      </c>
      <c r="N71" s="53">
        <f>+Octubre!N71</f>
        <v>100</v>
      </c>
      <c r="O71" s="190">
        <f t="shared" si="7"/>
        <v>1</v>
      </c>
      <c r="P71" s="90"/>
      <c r="Q71" s="90"/>
      <c r="R71" s="90"/>
      <c r="S71" s="98"/>
    </row>
    <row r="72" spans="1:19" ht="15.75" thickBot="1" x14ac:dyDescent="0.3">
      <c r="A72" s="127" t="s">
        <v>140</v>
      </c>
      <c r="B72" s="128">
        <v>0</v>
      </c>
      <c r="C72" s="129">
        <v>0</v>
      </c>
      <c r="D72" s="129">
        <v>0</v>
      </c>
      <c r="E72" s="129">
        <v>0</v>
      </c>
      <c r="F72" s="159">
        <v>28.4</v>
      </c>
      <c r="G72" s="199">
        <f t="shared" si="8"/>
        <v>28.4</v>
      </c>
      <c r="H72" s="90"/>
      <c r="I72" s="119" t="s">
        <v>140</v>
      </c>
      <c r="J72" s="72">
        <f>(B72/$R$53)*100</f>
        <v>0</v>
      </c>
      <c r="K72" s="38">
        <f>(C72/$R$53)*100</f>
        <v>0</v>
      </c>
      <c r="L72" s="38">
        <f>(D72/$R$53)*100</f>
        <v>0</v>
      </c>
      <c r="M72" s="38">
        <f>(E72/$R$53)*100</f>
        <v>0</v>
      </c>
      <c r="N72" s="54">
        <f>(F72/$R$53)*100</f>
        <v>100</v>
      </c>
      <c r="O72" s="191">
        <f>SUM(J72:N72)/100</f>
        <v>1</v>
      </c>
      <c r="P72" s="90"/>
      <c r="Q72" s="90"/>
      <c r="R72" s="90"/>
      <c r="S72" s="98"/>
    </row>
    <row r="73" spans="1:19" x14ac:dyDescent="0.25">
      <c r="A73" s="97"/>
      <c r="B73" s="130"/>
      <c r="C73" s="130"/>
      <c r="D73" s="130"/>
      <c r="E73" s="130"/>
      <c r="F73" s="130"/>
      <c r="G73" s="90"/>
      <c r="H73" s="90"/>
      <c r="J73" s="131"/>
      <c r="K73" s="90"/>
      <c r="L73" s="90"/>
      <c r="M73" s="90"/>
      <c r="N73" s="90"/>
      <c r="O73" s="90"/>
      <c r="P73" s="90"/>
      <c r="Q73" s="90"/>
      <c r="R73" s="90"/>
      <c r="S73" s="98"/>
    </row>
    <row r="74" spans="1:19" x14ac:dyDescent="0.25">
      <c r="A74" s="97"/>
      <c r="B74" s="90"/>
      <c r="C74" s="90"/>
      <c r="D74" s="90"/>
      <c r="E74" s="90"/>
      <c r="F74" s="90"/>
      <c r="G74" s="90"/>
      <c r="H74" s="90"/>
      <c r="I74" s="131" t="s">
        <v>127</v>
      </c>
      <c r="J74" s="131"/>
      <c r="K74" s="90"/>
      <c r="L74" s="90"/>
      <c r="M74" s="90"/>
      <c r="N74" s="90"/>
      <c r="O74" s="90"/>
      <c r="P74" s="90"/>
      <c r="Q74" s="90"/>
      <c r="R74" s="90"/>
      <c r="S74" s="98"/>
    </row>
    <row r="75" spans="1:19" x14ac:dyDescent="0.25">
      <c r="A75" s="97"/>
      <c r="B75" s="90"/>
      <c r="C75" s="90"/>
      <c r="D75" s="90"/>
      <c r="E75" s="90"/>
      <c r="F75" s="90"/>
      <c r="G75" s="90"/>
      <c r="H75" s="90"/>
      <c r="I75" s="131" t="s">
        <v>128</v>
      </c>
      <c r="J75" s="131"/>
      <c r="K75" s="90"/>
      <c r="L75" s="90"/>
      <c r="M75" s="90"/>
      <c r="N75" s="90"/>
      <c r="O75" s="90"/>
      <c r="P75" s="90"/>
      <c r="Q75" s="90"/>
      <c r="R75" s="90"/>
      <c r="S75" s="98"/>
    </row>
    <row r="76" spans="1:19" x14ac:dyDescent="0.25">
      <c r="A76" s="97"/>
      <c r="B76" s="90"/>
      <c r="C76" s="90"/>
      <c r="D76" s="90"/>
      <c r="E76" s="90"/>
      <c r="F76" s="90"/>
      <c r="G76" s="90"/>
      <c r="H76" s="90"/>
      <c r="I76" s="131" t="s">
        <v>129</v>
      </c>
      <c r="J76" s="131"/>
      <c r="K76" s="90"/>
      <c r="L76" s="90"/>
      <c r="M76" s="90"/>
      <c r="N76" s="90"/>
      <c r="O76" s="90"/>
      <c r="P76" s="90"/>
      <c r="Q76" s="90"/>
      <c r="R76" s="90"/>
      <c r="S76" s="98"/>
    </row>
    <row r="77" spans="1:19" ht="15.75" thickBot="1" x14ac:dyDescent="0.3">
      <c r="A77" s="132"/>
      <c r="B77" s="93"/>
      <c r="C77" s="93"/>
      <c r="D77" s="93"/>
      <c r="E77" s="93"/>
      <c r="F77" s="93"/>
      <c r="G77" s="93"/>
      <c r="H77" s="93"/>
      <c r="I77" s="133" t="s">
        <v>130</v>
      </c>
      <c r="J77" s="133"/>
      <c r="K77" s="93"/>
      <c r="L77" s="93"/>
      <c r="M77" s="93"/>
      <c r="N77" s="93"/>
      <c r="O77" s="93"/>
      <c r="P77" s="93"/>
      <c r="Q77" s="93"/>
      <c r="R77" s="93"/>
      <c r="S77" s="134"/>
    </row>
  </sheetData>
  <sheetProtection algorithmName="SHA-512" hashValue="05pIfv2gvgqRMC4kCAEMnV+ksRVDI5sdY/TkzhaxPH4Qokf1pmkf4FKW5l82zoXbAWBmEyZYCcTS9wTo6WoEGQ==" saltValue="fRXMnNpf9EbD8oNcAdyqFQ==" spinCount="100000" sheet="1" selectLockedCells="1"/>
  <mergeCells count="45">
    <mergeCell ref="J59:O59"/>
    <mergeCell ref="A60:A61"/>
    <mergeCell ref="B60:F60"/>
    <mergeCell ref="G60:G61"/>
    <mergeCell ref="I60:I61"/>
    <mergeCell ref="K60:N60"/>
    <mergeCell ref="O60:O61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72">
    <cfRule type="cellIs" dxfId="27" priority="12" operator="notEqual">
      <formula>$R$53</formula>
    </cfRule>
  </conditionalFormatting>
  <conditionalFormatting sqref="O62:O72">
    <cfRule type="cellIs" dxfId="26" priority="11" operator="notEqual">
      <formula>100%</formula>
    </cfRule>
  </conditionalFormatting>
  <pageMargins left="0.7" right="0.7" top="0.75" bottom="0.75" header="0.3" footer="0.3"/>
  <pageSetup paperSize="2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C3863D48-8F05-4AFD-B944-FCB0EF676F5E}">
            <xm:f>Enero!R53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2" operator="notEqual" id="{DD7DD322-EB1B-4FEF-B1BC-2F54E95D0CD5}">
            <xm:f>Febrero!R53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3" operator="notEqual" id="{977973FB-95B2-4CBE-9398-990407351CC3}">
            <xm:f>Marzo!R53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4" operator="notEqual" id="{89D3633C-C121-417A-9496-AFBB777521F4}">
            <xm:f>Abril!R53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5" operator="notEqual" id="{5D1067BE-71EE-44B9-9A46-9731BD103EA8}">
            <xm:f>Mayo!R53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ellIs" priority="6" operator="notEqual" id="{7EA6268E-46F7-49CC-8B13-4E7917B445EE}">
            <xm:f>Junio!R53</xm:f>
            <x14:dxf>
              <fill>
                <patternFill>
                  <bgColor rgb="FFFF0000"/>
                </patternFill>
              </fill>
            </x14:dxf>
          </x14:cfRule>
          <xm:sqref>G67</xm:sqref>
        </x14:conditionalFormatting>
        <x14:conditionalFormatting xmlns:xm="http://schemas.microsoft.com/office/excel/2006/main">
          <x14:cfRule type="cellIs" priority="7" operator="notEqual" id="{514C7ADD-4C31-46A0-807F-4FAC1C8BDA6E}">
            <xm:f>Julio!R53</xm:f>
            <x14:dxf>
              <fill>
                <patternFill>
                  <bgColor rgb="FFFF0000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cellIs" priority="8" operator="notEqual" id="{0CC719EF-D7C3-48DB-A07B-5002AEECFB1D}">
            <xm:f>Agosto!R53</xm:f>
            <x14:dxf>
              <fill>
                <patternFill>
                  <bgColor rgb="FFFF0000"/>
                </patternFill>
              </fill>
            </x14:dxf>
          </x14:cfRule>
          <xm:sqref>G69</xm:sqref>
        </x14:conditionalFormatting>
        <x14:conditionalFormatting xmlns:xm="http://schemas.microsoft.com/office/excel/2006/main">
          <x14:cfRule type="cellIs" priority="9" operator="notEqual" id="{8D19BC80-4F62-470E-8F6F-78EEF33704CC}">
            <xm:f>Septiembre!R53</xm:f>
            <x14:dxf>
              <fill>
                <patternFill>
                  <bgColor rgb="FFFF0000"/>
                </patternFill>
              </fill>
            </x14:dxf>
          </x14:cfRule>
          <xm:sqref>G70</xm:sqref>
        </x14:conditionalFormatting>
        <x14:conditionalFormatting xmlns:xm="http://schemas.microsoft.com/office/excel/2006/main">
          <x14:cfRule type="cellIs" priority="10" operator="notEqual" id="{3EAE4196-B836-4A35-B732-927ECBFDEEFA}">
            <xm:f>Octubre!R53</xm:f>
            <x14:dxf>
              <fill>
                <patternFill>
                  <bgColor rgb="FFFF0000"/>
                </patternFill>
              </fill>
            </x14:dxf>
          </x14:cfRule>
          <xm:sqref>G71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EF1B-FDC1-4967-88C5-BAE342D5ADF2}">
  <dimension ref="A1:V78"/>
  <sheetViews>
    <sheetView showGridLines="0" zoomScale="70" zoomScaleNormal="70" workbookViewId="0">
      <selection activeCell="D9" sqref="D9:J9"/>
    </sheetView>
  </sheetViews>
  <sheetFormatPr baseColWidth="10" defaultColWidth="0" defaultRowHeight="15" customHeight="1" zeroHeight="1" x14ac:dyDescent="0.25"/>
  <cols>
    <col min="1" max="1" width="11.42578125" style="88" customWidth="1"/>
    <col min="2" max="2" width="23" style="88" customWidth="1"/>
    <col min="3" max="3" width="17.28515625" style="88" customWidth="1"/>
    <col min="4" max="4" width="17.85546875" style="88" customWidth="1"/>
    <col min="5" max="5" width="16" style="88" customWidth="1"/>
    <col min="6" max="6" width="17" style="88" customWidth="1"/>
    <col min="7" max="7" width="12.7109375" style="88" customWidth="1"/>
    <col min="8" max="8" width="14.28515625" style="88" customWidth="1"/>
    <col min="9" max="9" width="15.140625" style="88" customWidth="1"/>
    <col min="10" max="10" width="13.7109375" style="88" customWidth="1"/>
    <col min="11" max="11" width="15.7109375" style="88" customWidth="1"/>
    <col min="12" max="12" width="15.140625" style="88" customWidth="1"/>
    <col min="13" max="13" width="12" style="88" customWidth="1"/>
    <col min="14" max="14" width="15.85546875" style="88" customWidth="1"/>
    <col min="15" max="15" width="14.140625" style="88" customWidth="1"/>
    <col min="16" max="16" width="12" style="88" customWidth="1"/>
    <col min="17" max="17" width="13.42578125" style="88" customWidth="1"/>
    <col min="18" max="18" width="13.5703125" style="88" bestFit="1" customWidth="1"/>
    <col min="19" max="20" width="11.42578125" style="88" customWidth="1"/>
    <col min="21" max="21" width="9.42578125" style="88" hidden="1" customWidth="1"/>
    <col min="22" max="22" width="0" style="88" hidden="1" customWidth="1"/>
    <col min="23" max="16384" width="11.42578125" style="88" hidden="1"/>
  </cols>
  <sheetData>
    <row r="1" spans="1:19" x14ac:dyDescent="0.25">
      <c r="A1" s="310"/>
      <c r="B1" s="311"/>
      <c r="C1" s="311"/>
      <c r="D1" s="314" t="s">
        <v>77</v>
      </c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78</v>
      </c>
      <c r="R1" s="319"/>
      <c r="S1" s="320"/>
    </row>
    <row r="2" spans="1:19" ht="15.75" thickBot="1" x14ac:dyDescent="0.3">
      <c r="A2" s="312"/>
      <c r="B2" s="313"/>
      <c r="C2" s="313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  <c r="Q2" s="321"/>
      <c r="R2" s="322"/>
      <c r="S2" s="323"/>
    </row>
    <row r="3" spans="1:19" x14ac:dyDescent="0.25">
      <c r="A3" s="312"/>
      <c r="B3" s="313"/>
      <c r="C3" s="313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  <c r="Q3" s="324" t="s">
        <v>79</v>
      </c>
      <c r="R3" s="325"/>
      <c r="S3" s="326"/>
    </row>
    <row r="4" spans="1:19" ht="15.75" thickBot="1" x14ac:dyDescent="0.3">
      <c r="A4" s="312"/>
      <c r="B4" s="313"/>
      <c r="C4" s="313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7"/>
      <c r="Q4" s="327"/>
      <c r="R4" s="328"/>
      <c r="S4" s="329"/>
    </row>
    <row r="5" spans="1:19" x14ac:dyDescent="0.25">
      <c r="A5" s="312"/>
      <c r="B5" s="313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7"/>
      <c r="Q5" s="330" t="s">
        <v>80</v>
      </c>
      <c r="R5" s="331"/>
      <c r="S5" s="332"/>
    </row>
    <row r="6" spans="1:19" ht="15.75" thickBot="1" x14ac:dyDescent="0.3">
      <c r="A6" s="312"/>
      <c r="B6" s="313"/>
      <c r="C6" s="313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  <c r="Q6" s="333"/>
      <c r="R6" s="334"/>
      <c r="S6" s="335"/>
    </row>
    <row r="7" spans="1:19" x14ac:dyDescent="0.25">
      <c r="A7" s="303" t="s">
        <v>81</v>
      </c>
      <c r="B7" s="304"/>
      <c r="C7" s="304"/>
      <c r="D7" s="305" t="s">
        <v>172</v>
      </c>
      <c r="E7" s="306"/>
      <c r="F7" s="306"/>
      <c r="G7" s="306"/>
      <c r="H7" s="306"/>
      <c r="I7" s="306"/>
      <c r="J7" s="307"/>
      <c r="K7" s="267" t="s">
        <v>82</v>
      </c>
      <c r="L7" s="267"/>
      <c r="M7" s="267"/>
      <c r="N7" s="308" t="s">
        <v>158</v>
      </c>
      <c r="O7" s="308"/>
      <c r="P7" s="308"/>
      <c r="Q7" s="308"/>
      <c r="R7" s="308"/>
      <c r="S7" s="309"/>
    </row>
    <row r="8" spans="1:19" x14ac:dyDescent="0.25">
      <c r="A8" s="303" t="s">
        <v>83</v>
      </c>
      <c r="B8" s="304"/>
      <c r="C8" s="304"/>
      <c r="D8" s="305" t="s">
        <v>163</v>
      </c>
      <c r="E8" s="306"/>
      <c r="F8" s="306"/>
      <c r="G8" s="306"/>
      <c r="H8" s="306"/>
      <c r="I8" s="306"/>
      <c r="J8" s="307"/>
      <c r="K8" s="267" t="s">
        <v>84</v>
      </c>
      <c r="L8" s="267"/>
      <c r="M8" s="267"/>
      <c r="N8" s="308" t="s">
        <v>169</v>
      </c>
      <c r="O8" s="308"/>
      <c r="P8" s="308"/>
      <c r="Q8" s="308"/>
      <c r="R8" s="308"/>
      <c r="S8" s="309"/>
    </row>
    <row r="9" spans="1:19" x14ac:dyDescent="0.25">
      <c r="A9" s="303" t="s">
        <v>85</v>
      </c>
      <c r="B9" s="304"/>
      <c r="C9" s="304"/>
      <c r="D9" s="305" t="s">
        <v>164</v>
      </c>
      <c r="E9" s="306"/>
      <c r="F9" s="306"/>
      <c r="G9" s="306"/>
      <c r="H9" s="306"/>
      <c r="I9" s="306"/>
      <c r="J9" s="307"/>
      <c r="K9" s="304" t="s">
        <v>86</v>
      </c>
      <c r="L9" s="304"/>
      <c r="M9" s="304"/>
      <c r="N9" s="308" t="s">
        <v>166</v>
      </c>
      <c r="O9" s="308"/>
      <c r="P9" s="308"/>
      <c r="Q9" s="308"/>
      <c r="R9" s="308"/>
      <c r="S9" s="309"/>
    </row>
    <row r="10" spans="1:19" x14ac:dyDescent="0.25">
      <c r="A10" s="303" t="s">
        <v>87</v>
      </c>
      <c r="B10" s="304"/>
      <c r="C10" s="304"/>
      <c r="D10" s="305" t="s">
        <v>183</v>
      </c>
      <c r="E10" s="306"/>
      <c r="F10" s="306"/>
      <c r="G10" s="306"/>
      <c r="H10" s="306"/>
      <c r="I10" s="306"/>
      <c r="J10" s="307"/>
      <c r="K10" s="304" t="s">
        <v>88</v>
      </c>
      <c r="L10" s="304"/>
      <c r="M10" s="304"/>
      <c r="N10" s="308" t="s">
        <v>182</v>
      </c>
      <c r="O10" s="308"/>
      <c r="P10" s="308"/>
      <c r="Q10" s="308"/>
      <c r="R10" s="308"/>
      <c r="S10" s="309"/>
    </row>
    <row r="11" spans="1:19" x14ac:dyDescent="0.25">
      <c r="A11" s="266" t="s">
        <v>89</v>
      </c>
      <c r="B11" s="267"/>
      <c r="C11" s="267"/>
      <c r="D11" s="268"/>
      <c r="E11" s="269"/>
      <c r="F11" s="269"/>
      <c r="G11" s="269"/>
      <c r="H11" s="269"/>
      <c r="I11" s="269"/>
      <c r="J11" s="270"/>
      <c r="K11" s="271"/>
      <c r="L11" s="271"/>
      <c r="M11" s="271"/>
      <c r="N11" s="272"/>
      <c r="O11" s="272"/>
      <c r="P11" s="272"/>
      <c r="Q11" s="272"/>
      <c r="R11" s="272"/>
      <c r="S11" s="273"/>
    </row>
    <row r="12" spans="1:19" x14ac:dyDescent="0.25">
      <c r="R12" s="89"/>
      <c r="S12" s="95"/>
    </row>
    <row r="13" spans="1:19" x14ac:dyDescent="0.25">
      <c r="S13" s="96"/>
    </row>
    <row r="14" spans="1:19" x14ac:dyDescent="0.25">
      <c r="A14" s="97"/>
      <c r="B14" s="90"/>
      <c r="C14" s="90"/>
      <c r="D14" s="90"/>
      <c r="E14" s="90"/>
      <c r="F14" s="90"/>
      <c r="G14" s="90" t="s">
        <v>90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8"/>
    </row>
    <row r="15" spans="1:19" ht="15.75" thickBot="1" x14ac:dyDescent="0.3">
      <c r="A15" s="97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8"/>
    </row>
    <row r="16" spans="1:19" x14ac:dyDescent="0.25">
      <c r="A16" s="274" t="s">
        <v>91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98"/>
    </row>
    <row r="17" spans="1:19" ht="15.75" thickBot="1" x14ac:dyDescent="0.3">
      <c r="A17" s="277"/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9"/>
      <c r="S17" s="98"/>
    </row>
    <row r="18" spans="1:19" s="143" customFormat="1" ht="15.75" thickBot="1" x14ac:dyDescent="0.3">
      <c r="A18" s="135"/>
      <c r="B18" s="136">
        <v>10</v>
      </c>
      <c r="C18" s="137">
        <v>11</v>
      </c>
      <c r="D18" s="137">
        <v>12</v>
      </c>
      <c r="E18" s="138">
        <v>13</v>
      </c>
      <c r="F18" s="136">
        <v>14</v>
      </c>
      <c r="G18" s="137">
        <v>15</v>
      </c>
      <c r="H18" s="137">
        <v>16</v>
      </c>
      <c r="I18" s="137">
        <v>17</v>
      </c>
      <c r="J18" s="138">
        <v>18</v>
      </c>
      <c r="K18" s="136">
        <v>19</v>
      </c>
      <c r="L18" s="137">
        <v>20</v>
      </c>
      <c r="M18" s="137">
        <v>21</v>
      </c>
      <c r="N18" s="137">
        <v>22</v>
      </c>
      <c r="O18" s="139">
        <v>23</v>
      </c>
      <c r="P18" s="140">
        <v>24</v>
      </c>
      <c r="Q18" s="141">
        <v>0</v>
      </c>
      <c r="R18" s="94">
        <v>26</v>
      </c>
      <c r="S18" s="142"/>
    </row>
    <row r="19" spans="1:19" customFormat="1" ht="15.75" thickBot="1" x14ac:dyDescent="0.3">
      <c r="A19" s="280" t="s">
        <v>92</v>
      </c>
      <c r="B19" s="283" t="s">
        <v>93</v>
      </c>
      <c r="C19" s="284"/>
      <c r="D19" s="285"/>
      <c r="E19" s="289" t="s">
        <v>34</v>
      </c>
      <c r="F19" s="292" t="s">
        <v>94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55" t="s">
        <v>58</v>
      </c>
      <c r="R19" s="295" t="s">
        <v>95</v>
      </c>
      <c r="S19" s="98"/>
    </row>
    <row r="20" spans="1:19" customFormat="1" ht="15.75" thickBot="1" x14ac:dyDescent="0.3">
      <c r="A20" s="281"/>
      <c r="B20" s="286"/>
      <c r="C20" s="287"/>
      <c r="D20" s="288"/>
      <c r="E20" s="290"/>
      <c r="F20" s="298" t="s">
        <v>96</v>
      </c>
      <c r="G20" s="299"/>
      <c r="H20" s="299"/>
      <c r="I20" s="300"/>
      <c r="J20" s="301" t="s">
        <v>43</v>
      </c>
      <c r="K20" s="298" t="s">
        <v>97</v>
      </c>
      <c r="L20" s="299"/>
      <c r="M20" s="299"/>
      <c r="N20" s="299"/>
      <c r="O20" s="300"/>
      <c r="P20" s="255" t="s">
        <v>56</v>
      </c>
      <c r="Q20" s="256"/>
      <c r="R20" s="296"/>
      <c r="S20" s="98"/>
    </row>
    <row r="21" spans="1:19" customFormat="1" ht="60.75" thickBot="1" x14ac:dyDescent="0.3">
      <c r="A21" s="282"/>
      <c r="B21" s="100" t="s">
        <v>98</v>
      </c>
      <c r="C21" s="101" t="s">
        <v>99</v>
      </c>
      <c r="D21" s="101" t="s">
        <v>100</v>
      </c>
      <c r="E21" s="291"/>
      <c r="F21" s="100" t="s">
        <v>101</v>
      </c>
      <c r="G21" s="101" t="s">
        <v>102</v>
      </c>
      <c r="H21" s="101" t="s">
        <v>103</v>
      </c>
      <c r="I21" s="101" t="s">
        <v>104</v>
      </c>
      <c r="J21" s="302"/>
      <c r="K21" s="100" t="s">
        <v>105</v>
      </c>
      <c r="L21" s="101" t="s">
        <v>106</v>
      </c>
      <c r="M21" s="101" t="s">
        <v>107</v>
      </c>
      <c r="N21" s="101" t="s">
        <v>108</v>
      </c>
      <c r="O21" s="102" t="s">
        <v>109</v>
      </c>
      <c r="P21" s="294"/>
      <c r="Q21" s="294"/>
      <c r="R21" s="297"/>
      <c r="S21" s="98"/>
    </row>
    <row r="22" spans="1:19" x14ac:dyDescent="0.25">
      <c r="A22" s="3">
        <v>1</v>
      </c>
      <c r="B22" s="86"/>
      <c r="C22" s="87"/>
      <c r="D22" s="87"/>
      <c r="E22" s="103">
        <f>+SUM(B22:D22)</f>
        <v>0</v>
      </c>
      <c r="F22" s="86"/>
      <c r="G22" s="87"/>
      <c r="H22" s="87"/>
      <c r="I22" s="87"/>
      <c r="J22" s="103">
        <f>+SUM(F22:I22)</f>
        <v>0</v>
      </c>
      <c r="K22" s="86"/>
      <c r="L22" s="87"/>
      <c r="M22" s="87"/>
      <c r="N22" s="87"/>
      <c r="O22" s="104"/>
      <c r="P22" s="105">
        <f>+SUM(K22:O22)</f>
        <v>0</v>
      </c>
      <c r="Q22" s="106">
        <f>+J22+P22</f>
        <v>0</v>
      </c>
      <c r="R22" s="91">
        <f>+E22+Q22</f>
        <v>0</v>
      </c>
      <c r="S22" s="98"/>
    </row>
    <row r="23" spans="1:19" x14ac:dyDescent="0.25">
      <c r="A23" s="4">
        <v>2</v>
      </c>
      <c r="B23" s="86"/>
      <c r="C23" s="87"/>
      <c r="D23" s="87"/>
      <c r="E23" s="103">
        <f t="shared" ref="E23:E52" si="0">+SUM(B23:D23)</f>
        <v>0</v>
      </c>
      <c r="F23" s="86"/>
      <c r="G23" s="87"/>
      <c r="H23" s="87"/>
      <c r="I23" s="87"/>
      <c r="J23" s="103">
        <f t="shared" ref="J23:J52" si="1">+SUM(F23:I23)</f>
        <v>0</v>
      </c>
      <c r="K23" s="86"/>
      <c r="L23" s="87"/>
      <c r="M23" s="87"/>
      <c r="N23" s="87"/>
      <c r="O23" s="104"/>
      <c r="P23" s="105">
        <f t="shared" ref="P23:P52" si="2">+SUM(K23:O23)</f>
        <v>0</v>
      </c>
      <c r="Q23" s="106">
        <f t="shared" ref="Q23:Q52" si="3">+J23+P23</f>
        <v>0</v>
      </c>
      <c r="R23" s="91">
        <f t="shared" ref="R23:R52" si="4">+E23+Q23</f>
        <v>0</v>
      </c>
      <c r="S23" s="98"/>
    </row>
    <row r="24" spans="1:19" x14ac:dyDescent="0.25">
      <c r="A24" s="4">
        <v>3</v>
      </c>
      <c r="B24" s="86"/>
      <c r="C24" s="87"/>
      <c r="D24" s="87"/>
      <c r="E24" s="103">
        <f t="shared" si="0"/>
        <v>0</v>
      </c>
      <c r="F24" s="86"/>
      <c r="G24" s="87"/>
      <c r="H24" s="87"/>
      <c r="I24" s="87"/>
      <c r="J24" s="103">
        <f t="shared" si="1"/>
        <v>0</v>
      </c>
      <c r="K24" s="86"/>
      <c r="L24" s="87"/>
      <c r="M24" s="87"/>
      <c r="N24" s="87"/>
      <c r="O24" s="104"/>
      <c r="P24" s="105">
        <f t="shared" si="2"/>
        <v>0</v>
      </c>
      <c r="Q24" s="106">
        <f t="shared" si="3"/>
        <v>0</v>
      </c>
      <c r="R24" s="91">
        <f t="shared" si="4"/>
        <v>0</v>
      </c>
      <c r="S24" s="98"/>
    </row>
    <row r="25" spans="1:19" x14ac:dyDescent="0.25">
      <c r="A25" s="4">
        <v>4</v>
      </c>
      <c r="B25" s="86"/>
      <c r="C25" s="87"/>
      <c r="D25" s="87"/>
      <c r="E25" s="103">
        <f t="shared" si="0"/>
        <v>0</v>
      </c>
      <c r="F25" s="86"/>
      <c r="G25" s="87"/>
      <c r="H25" s="87"/>
      <c r="I25" s="87"/>
      <c r="J25" s="103">
        <f t="shared" si="1"/>
        <v>0</v>
      </c>
      <c r="K25" s="86"/>
      <c r="L25" s="87"/>
      <c r="M25" s="87"/>
      <c r="N25" s="87"/>
      <c r="O25" s="104"/>
      <c r="P25" s="105">
        <f t="shared" si="2"/>
        <v>0</v>
      </c>
      <c r="Q25" s="106">
        <f t="shared" si="3"/>
        <v>0</v>
      </c>
      <c r="R25" s="91">
        <f t="shared" si="4"/>
        <v>0</v>
      </c>
      <c r="S25" s="98"/>
    </row>
    <row r="26" spans="1:19" x14ac:dyDescent="0.25">
      <c r="A26" s="4">
        <v>5</v>
      </c>
      <c r="B26" s="86"/>
      <c r="C26" s="87"/>
      <c r="D26" s="87"/>
      <c r="E26" s="103">
        <f t="shared" si="0"/>
        <v>0</v>
      </c>
      <c r="F26" s="86"/>
      <c r="G26" s="87"/>
      <c r="H26" s="87"/>
      <c r="I26" s="87"/>
      <c r="J26" s="103">
        <f t="shared" si="1"/>
        <v>0</v>
      </c>
      <c r="K26" s="86"/>
      <c r="L26" s="87"/>
      <c r="M26" s="87"/>
      <c r="N26" s="87"/>
      <c r="O26" s="104"/>
      <c r="P26" s="105">
        <f t="shared" si="2"/>
        <v>0</v>
      </c>
      <c r="Q26" s="106">
        <f t="shared" si="3"/>
        <v>0</v>
      </c>
      <c r="R26" s="91">
        <f t="shared" si="4"/>
        <v>0</v>
      </c>
      <c r="S26" s="98"/>
    </row>
    <row r="27" spans="1:19" x14ac:dyDescent="0.25">
      <c r="A27" s="4">
        <v>6</v>
      </c>
      <c r="B27" s="86"/>
      <c r="C27" s="87"/>
      <c r="D27" s="87"/>
      <c r="E27" s="103">
        <f t="shared" si="0"/>
        <v>0</v>
      </c>
      <c r="F27" s="86"/>
      <c r="G27" s="87"/>
      <c r="H27" s="87"/>
      <c r="I27" s="87"/>
      <c r="J27" s="103">
        <f t="shared" si="1"/>
        <v>0</v>
      </c>
      <c r="K27" s="86"/>
      <c r="L27" s="87"/>
      <c r="M27" s="87"/>
      <c r="N27" s="87"/>
      <c r="O27" s="104"/>
      <c r="P27" s="105">
        <f t="shared" si="2"/>
        <v>0</v>
      </c>
      <c r="Q27" s="106">
        <f t="shared" si="3"/>
        <v>0</v>
      </c>
      <c r="R27" s="91">
        <f t="shared" si="4"/>
        <v>0</v>
      </c>
      <c r="S27" s="98"/>
    </row>
    <row r="28" spans="1:19" x14ac:dyDescent="0.25">
      <c r="A28" s="4">
        <v>7</v>
      </c>
      <c r="B28" s="86"/>
      <c r="C28" s="87"/>
      <c r="D28" s="87"/>
      <c r="E28" s="103">
        <f t="shared" si="0"/>
        <v>0</v>
      </c>
      <c r="F28" s="86"/>
      <c r="G28" s="87"/>
      <c r="H28" s="87"/>
      <c r="I28" s="87"/>
      <c r="J28" s="103">
        <f t="shared" si="1"/>
        <v>0</v>
      </c>
      <c r="K28" s="86"/>
      <c r="L28" s="87"/>
      <c r="M28" s="87"/>
      <c r="N28" s="87"/>
      <c r="O28" s="104"/>
      <c r="P28" s="105">
        <f t="shared" si="2"/>
        <v>0</v>
      </c>
      <c r="Q28" s="106">
        <f t="shared" si="3"/>
        <v>0</v>
      </c>
      <c r="R28" s="91">
        <f t="shared" si="4"/>
        <v>0</v>
      </c>
      <c r="S28" s="98"/>
    </row>
    <row r="29" spans="1:19" x14ac:dyDescent="0.25">
      <c r="A29" s="4">
        <v>8</v>
      </c>
      <c r="B29" s="86"/>
      <c r="C29" s="87"/>
      <c r="D29" s="87"/>
      <c r="E29" s="103">
        <f t="shared" si="0"/>
        <v>0</v>
      </c>
      <c r="F29" s="86"/>
      <c r="G29" s="87"/>
      <c r="H29" s="87"/>
      <c r="I29" s="87"/>
      <c r="J29" s="103">
        <f t="shared" si="1"/>
        <v>0</v>
      </c>
      <c r="K29" s="86"/>
      <c r="L29" s="87"/>
      <c r="M29" s="87"/>
      <c r="N29" s="87"/>
      <c r="O29" s="104"/>
      <c r="P29" s="105">
        <f t="shared" si="2"/>
        <v>0</v>
      </c>
      <c r="Q29" s="106">
        <f t="shared" si="3"/>
        <v>0</v>
      </c>
      <c r="R29" s="91">
        <f t="shared" si="4"/>
        <v>0</v>
      </c>
      <c r="S29" s="98"/>
    </row>
    <row r="30" spans="1:19" x14ac:dyDescent="0.25">
      <c r="A30" s="4">
        <v>9</v>
      </c>
      <c r="B30" s="86"/>
      <c r="C30" s="87"/>
      <c r="D30" s="87"/>
      <c r="E30" s="103">
        <f t="shared" si="0"/>
        <v>0</v>
      </c>
      <c r="F30" s="86"/>
      <c r="G30" s="87"/>
      <c r="H30" s="87"/>
      <c r="I30" s="87"/>
      <c r="J30" s="103">
        <f t="shared" si="1"/>
        <v>0</v>
      </c>
      <c r="K30" s="86"/>
      <c r="L30" s="87"/>
      <c r="M30" s="87"/>
      <c r="N30" s="87"/>
      <c r="O30" s="104"/>
      <c r="P30" s="105">
        <f t="shared" si="2"/>
        <v>0</v>
      </c>
      <c r="Q30" s="106">
        <f t="shared" si="3"/>
        <v>0</v>
      </c>
      <c r="R30" s="91">
        <f t="shared" si="4"/>
        <v>0</v>
      </c>
      <c r="S30" s="98"/>
    </row>
    <row r="31" spans="1:19" x14ac:dyDescent="0.25">
      <c r="A31" s="4">
        <v>10</v>
      </c>
      <c r="B31" s="86"/>
      <c r="C31" s="87"/>
      <c r="D31" s="87"/>
      <c r="E31" s="103">
        <f t="shared" si="0"/>
        <v>0</v>
      </c>
      <c r="F31" s="86"/>
      <c r="G31" s="87"/>
      <c r="H31" s="87"/>
      <c r="I31" s="87"/>
      <c r="J31" s="103">
        <f t="shared" si="1"/>
        <v>0</v>
      </c>
      <c r="K31" s="86"/>
      <c r="L31" s="87"/>
      <c r="M31" s="87"/>
      <c r="N31" s="87"/>
      <c r="O31" s="104"/>
      <c r="P31" s="105">
        <f t="shared" si="2"/>
        <v>0</v>
      </c>
      <c r="Q31" s="106">
        <f t="shared" si="3"/>
        <v>0</v>
      </c>
      <c r="R31" s="91">
        <f t="shared" si="4"/>
        <v>0</v>
      </c>
      <c r="S31" s="98"/>
    </row>
    <row r="32" spans="1:19" x14ac:dyDescent="0.25">
      <c r="A32" s="4">
        <v>11</v>
      </c>
      <c r="B32" s="86"/>
      <c r="C32" s="87"/>
      <c r="D32" s="87"/>
      <c r="E32" s="103">
        <f t="shared" si="0"/>
        <v>0</v>
      </c>
      <c r="F32" s="86"/>
      <c r="G32" s="87"/>
      <c r="H32" s="87"/>
      <c r="I32" s="87"/>
      <c r="J32" s="103">
        <f t="shared" si="1"/>
        <v>0</v>
      </c>
      <c r="K32" s="86"/>
      <c r="L32" s="87"/>
      <c r="M32" s="87"/>
      <c r="N32" s="87"/>
      <c r="O32" s="104"/>
      <c r="P32" s="105">
        <f t="shared" si="2"/>
        <v>0</v>
      </c>
      <c r="Q32" s="106">
        <f t="shared" si="3"/>
        <v>0</v>
      </c>
      <c r="R32" s="91">
        <f t="shared" si="4"/>
        <v>0</v>
      </c>
      <c r="S32" s="98"/>
    </row>
    <row r="33" spans="1:19" x14ac:dyDescent="0.25">
      <c r="A33" s="4">
        <v>12</v>
      </c>
      <c r="B33" s="86"/>
      <c r="C33" s="87"/>
      <c r="D33" s="87"/>
      <c r="E33" s="103">
        <f t="shared" si="0"/>
        <v>0</v>
      </c>
      <c r="F33" s="86"/>
      <c r="G33" s="87"/>
      <c r="H33" s="87"/>
      <c r="I33" s="87"/>
      <c r="J33" s="103">
        <f t="shared" si="1"/>
        <v>0</v>
      </c>
      <c r="K33" s="86"/>
      <c r="L33" s="87"/>
      <c r="M33" s="87"/>
      <c r="N33" s="87"/>
      <c r="O33" s="104"/>
      <c r="P33" s="105">
        <f t="shared" si="2"/>
        <v>0</v>
      </c>
      <c r="Q33" s="106">
        <f t="shared" si="3"/>
        <v>0</v>
      </c>
      <c r="R33" s="91">
        <f t="shared" si="4"/>
        <v>0</v>
      </c>
      <c r="S33" s="98"/>
    </row>
    <row r="34" spans="1:19" x14ac:dyDescent="0.25">
      <c r="A34" s="4">
        <v>13</v>
      </c>
      <c r="B34" s="86"/>
      <c r="C34" s="87"/>
      <c r="D34" s="87"/>
      <c r="E34" s="103">
        <f t="shared" si="0"/>
        <v>0</v>
      </c>
      <c r="F34" s="86"/>
      <c r="G34" s="87"/>
      <c r="H34" s="87"/>
      <c r="I34" s="87"/>
      <c r="J34" s="103">
        <f t="shared" si="1"/>
        <v>0</v>
      </c>
      <c r="K34" s="86"/>
      <c r="L34" s="87"/>
      <c r="M34" s="87"/>
      <c r="N34" s="87"/>
      <c r="O34" s="104"/>
      <c r="P34" s="105">
        <f t="shared" si="2"/>
        <v>0</v>
      </c>
      <c r="Q34" s="106">
        <f t="shared" si="3"/>
        <v>0</v>
      </c>
      <c r="R34" s="91">
        <f t="shared" si="4"/>
        <v>0</v>
      </c>
      <c r="S34" s="98"/>
    </row>
    <row r="35" spans="1:19" x14ac:dyDescent="0.25">
      <c r="A35" s="4">
        <v>14</v>
      </c>
      <c r="B35" s="86"/>
      <c r="C35" s="87"/>
      <c r="D35" s="87"/>
      <c r="E35" s="103">
        <f t="shared" si="0"/>
        <v>0</v>
      </c>
      <c r="F35" s="86"/>
      <c r="G35" s="87"/>
      <c r="H35" s="87"/>
      <c r="I35" s="87"/>
      <c r="J35" s="103">
        <f t="shared" si="1"/>
        <v>0</v>
      </c>
      <c r="K35" s="86"/>
      <c r="L35" s="87"/>
      <c r="M35" s="87"/>
      <c r="N35" s="87"/>
      <c r="O35" s="104"/>
      <c r="P35" s="105">
        <f t="shared" si="2"/>
        <v>0</v>
      </c>
      <c r="Q35" s="106">
        <f t="shared" si="3"/>
        <v>0</v>
      </c>
      <c r="R35" s="91">
        <f t="shared" si="4"/>
        <v>0</v>
      </c>
      <c r="S35" s="98"/>
    </row>
    <row r="36" spans="1:19" x14ac:dyDescent="0.25">
      <c r="A36" s="4">
        <v>15</v>
      </c>
      <c r="B36" s="86"/>
      <c r="C36" s="87"/>
      <c r="D36" s="87"/>
      <c r="E36" s="103">
        <f t="shared" si="0"/>
        <v>0</v>
      </c>
      <c r="F36" s="86"/>
      <c r="G36" s="87"/>
      <c r="H36" s="87"/>
      <c r="I36" s="87"/>
      <c r="J36" s="103">
        <f t="shared" si="1"/>
        <v>0</v>
      </c>
      <c r="K36" s="86"/>
      <c r="L36" s="87"/>
      <c r="M36" s="87"/>
      <c r="N36" s="87"/>
      <c r="O36" s="104"/>
      <c r="P36" s="105">
        <f t="shared" si="2"/>
        <v>0</v>
      </c>
      <c r="Q36" s="106">
        <f t="shared" si="3"/>
        <v>0</v>
      </c>
      <c r="R36" s="91">
        <f t="shared" si="4"/>
        <v>0</v>
      </c>
      <c r="S36" s="98"/>
    </row>
    <row r="37" spans="1:19" x14ac:dyDescent="0.25">
      <c r="A37" s="4">
        <v>16</v>
      </c>
      <c r="B37" s="86"/>
      <c r="C37" s="87"/>
      <c r="D37" s="87"/>
      <c r="E37" s="103">
        <f t="shared" si="0"/>
        <v>0</v>
      </c>
      <c r="F37" s="86"/>
      <c r="G37" s="87"/>
      <c r="H37" s="87"/>
      <c r="I37" s="87"/>
      <c r="J37" s="103">
        <f t="shared" si="1"/>
        <v>0</v>
      </c>
      <c r="K37" s="86"/>
      <c r="L37" s="87"/>
      <c r="M37" s="87"/>
      <c r="N37" s="87"/>
      <c r="O37" s="104"/>
      <c r="P37" s="105">
        <f t="shared" si="2"/>
        <v>0</v>
      </c>
      <c r="Q37" s="106">
        <f t="shared" si="3"/>
        <v>0</v>
      </c>
      <c r="R37" s="91">
        <f t="shared" si="4"/>
        <v>0</v>
      </c>
      <c r="S37" s="98"/>
    </row>
    <row r="38" spans="1:19" x14ac:dyDescent="0.25">
      <c r="A38" s="4">
        <v>17</v>
      </c>
      <c r="B38" s="86"/>
      <c r="C38" s="87"/>
      <c r="D38" s="87"/>
      <c r="E38" s="103">
        <f t="shared" si="0"/>
        <v>0</v>
      </c>
      <c r="F38" s="86"/>
      <c r="G38" s="87"/>
      <c r="H38" s="87"/>
      <c r="I38" s="87"/>
      <c r="J38" s="103">
        <f t="shared" si="1"/>
        <v>0</v>
      </c>
      <c r="K38" s="86"/>
      <c r="L38" s="87"/>
      <c r="M38" s="87"/>
      <c r="N38" s="87"/>
      <c r="O38" s="104"/>
      <c r="P38" s="105">
        <f t="shared" si="2"/>
        <v>0</v>
      </c>
      <c r="Q38" s="106">
        <f t="shared" si="3"/>
        <v>0</v>
      </c>
      <c r="R38" s="91">
        <f t="shared" si="4"/>
        <v>0</v>
      </c>
      <c r="S38" s="98"/>
    </row>
    <row r="39" spans="1:19" x14ac:dyDescent="0.25">
      <c r="A39" s="4">
        <v>18</v>
      </c>
      <c r="B39" s="86"/>
      <c r="C39" s="87"/>
      <c r="D39" s="87"/>
      <c r="E39" s="103">
        <f t="shared" si="0"/>
        <v>0</v>
      </c>
      <c r="F39" s="86"/>
      <c r="G39" s="87"/>
      <c r="H39" s="87"/>
      <c r="I39" s="87"/>
      <c r="J39" s="103">
        <f t="shared" si="1"/>
        <v>0</v>
      </c>
      <c r="K39" s="86"/>
      <c r="L39" s="87"/>
      <c r="M39" s="87"/>
      <c r="N39" s="87"/>
      <c r="O39" s="104"/>
      <c r="P39" s="105">
        <f t="shared" si="2"/>
        <v>0</v>
      </c>
      <c r="Q39" s="106">
        <f t="shared" si="3"/>
        <v>0</v>
      </c>
      <c r="R39" s="91">
        <f t="shared" si="4"/>
        <v>0</v>
      </c>
      <c r="S39" s="98"/>
    </row>
    <row r="40" spans="1:19" x14ac:dyDescent="0.25">
      <c r="A40" s="4">
        <v>19</v>
      </c>
      <c r="B40" s="86"/>
      <c r="C40" s="87"/>
      <c r="D40" s="87"/>
      <c r="E40" s="103">
        <f t="shared" si="0"/>
        <v>0</v>
      </c>
      <c r="F40" s="86"/>
      <c r="G40" s="87"/>
      <c r="H40" s="87"/>
      <c r="I40" s="87"/>
      <c r="J40" s="103">
        <f t="shared" si="1"/>
        <v>0</v>
      </c>
      <c r="K40" s="86"/>
      <c r="L40" s="87"/>
      <c r="M40" s="87"/>
      <c r="N40" s="87"/>
      <c r="O40" s="104"/>
      <c r="P40" s="105">
        <f t="shared" si="2"/>
        <v>0</v>
      </c>
      <c r="Q40" s="106">
        <f t="shared" si="3"/>
        <v>0</v>
      </c>
      <c r="R40" s="91">
        <f t="shared" si="4"/>
        <v>0</v>
      </c>
      <c r="S40" s="98"/>
    </row>
    <row r="41" spans="1:19" x14ac:dyDescent="0.25">
      <c r="A41" s="4">
        <v>20</v>
      </c>
      <c r="B41" s="86"/>
      <c r="C41" s="87"/>
      <c r="D41" s="87"/>
      <c r="E41" s="103">
        <f t="shared" si="0"/>
        <v>0</v>
      </c>
      <c r="F41" s="86"/>
      <c r="G41" s="87"/>
      <c r="H41" s="87"/>
      <c r="I41" s="87"/>
      <c r="J41" s="103">
        <f t="shared" si="1"/>
        <v>0</v>
      </c>
      <c r="K41" s="86"/>
      <c r="L41" s="87"/>
      <c r="M41" s="87"/>
      <c r="N41" s="87"/>
      <c r="O41" s="104"/>
      <c r="P41" s="105">
        <f t="shared" si="2"/>
        <v>0</v>
      </c>
      <c r="Q41" s="106">
        <f t="shared" si="3"/>
        <v>0</v>
      </c>
      <c r="R41" s="91">
        <f t="shared" si="4"/>
        <v>0</v>
      </c>
      <c r="S41" s="98"/>
    </row>
    <row r="42" spans="1:19" x14ac:dyDescent="0.25">
      <c r="A42" s="4">
        <v>21</v>
      </c>
      <c r="B42" s="86"/>
      <c r="C42" s="87"/>
      <c r="D42" s="87"/>
      <c r="E42" s="103">
        <f t="shared" si="0"/>
        <v>0</v>
      </c>
      <c r="F42" s="86"/>
      <c r="G42" s="87"/>
      <c r="H42" s="87"/>
      <c r="I42" s="87"/>
      <c r="J42" s="103">
        <f t="shared" si="1"/>
        <v>0</v>
      </c>
      <c r="K42" s="86"/>
      <c r="L42" s="87"/>
      <c r="M42" s="87"/>
      <c r="N42" s="87"/>
      <c r="O42" s="104"/>
      <c r="P42" s="105">
        <f t="shared" si="2"/>
        <v>0</v>
      </c>
      <c r="Q42" s="106">
        <f t="shared" si="3"/>
        <v>0</v>
      </c>
      <c r="R42" s="91">
        <f t="shared" si="4"/>
        <v>0</v>
      </c>
      <c r="S42" s="98"/>
    </row>
    <row r="43" spans="1:19" x14ac:dyDescent="0.25">
      <c r="A43" s="4">
        <v>22</v>
      </c>
      <c r="B43" s="86"/>
      <c r="C43" s="87"/>
      <c r="D43" s="87">
        <v>10</v>
      </c>
      <c r="E43" s="103">
        <f t="shared" si="0"/>
        <v>10</v>
      </c>
      <c r="F43" s="86"/>
      <c r="G43" s="87"/>
      <c r="H43" s="87"/>
      <c r="I43" s="87"/>
      <c r="J43" s="103">
        <f t="shared" si="1"/>
        <v>0</v>
      </c>
      <c r="K43" s="86"/>
      <c r="L43" s="87"/>
      <c r="M43" s="87"/>
      <c r="N43" s="87"/>
      <c r="O43" s="104"/>
      <c r="P43" s="105">
        <f t="shared" si="2"/>
        <v>0</v>
      </c>
      <c r="Q43" s="106">
        <f t="shared" si="3"/>
        <v>0</v>
      </c>
      <c r="R43" s="91">
        <f t="shared" si="4"/>
        <v>10</v>
      </c>
      <c r="S43" s="98"/>
    </row>
    <row r="44" spans="1:19" x14ac:dyDescent="0.25">
      <c r="A44" s="4">
        <v>23</v>
      </c>
      <c r="B44" s="86"/>
      <c r="C44" s="87"/>
      <c r="D44" s="87"/>
      <c r="E44" s="103">
        <f t="shared" si="0"/>
        <v>0</v>
      </c>
      <c r="F44" s="86"/>
      <c r="G44" s="87"/>
      <c r="H44" s="87"/>
      <c r="I44" s="87"/>
      <c r="J44" s="103">
        <f t="shared" si="1"/>
        <v>0</v>
      </c>
      <c r="K44" s="86"/>
      <c r="L44" s="87"/>
      <c r="M44" s="87"/>
      <c r="N44" s="87"/>
      <c r="O44" s="104"/>
      <c r="P44" s="105">
        <f t="shared" si="2"/>
        <v>0</v>
      </c>
      <c r="Q44" s="106">
        <f t="shared" si="3"/>
        <v>0</v>
      </c>
      <c r="R44" s="91">
        <f t="shared" si="4"/>
        <v>0</v>
      </c>
      <c r="S44" s="98"/>
    </row>
    <row r="45" spans="1:19" x14ac:dyDescent="0.25">
      <c r="A45" s="4">
        <v>24</v>
      </c>
      <c r="B45" s="86"/>
      <c r="C45" s="87"/>
      <c r="D45" s="87"/>
      <c r="E45" s="103">
        <f t="shared" si="0"/>
        <v>0</v>
      </c>
      <c r="F45" s="86"/>
      <c r="G45" s="87"/>
      <c r="H45" s="87"/>
      <c r="I45" s="87"/>
      <c r="J45" s="103">
        <f t="shared" si="1"/>
        <v>0</v>
      </c>
      <c r="K45" s="86"/>
      <c r="L45" s="87"/>
      <c r="M45" s="87"/>
      <c r="N45" s="87"/>
      <c r="O45" s="104"/>
      <c r="P45" s="105">
        <f t="shared" si="2"/>
        <v>0</v>
      </c>
      <c r="Q45" s="106">
        <f t="shared" si="3"/>
        <v>0</v>
      </c>
      <c r="R45" s="91">
        <f t="shared" si="4"/>
        <v>0</v>
      </c>
      <c r="S45" s="98"/>
    </row>
    <row r="46" spans="1:19" x14ac:dyDescent="0.25">
      <c r="A46" s="4">
        <v>25</v>
      </c>
      <c r="B46" s="86"/>
      <c r="C46" s="87"/>
      <c r="D46" s="87"/>
      <c r="E46" s="103">
        <f t="shared" si="0"/>
        <v>0</v>
      </c>
      <c r="F46" s="86"/>
      <c r="G46" s="87"/>
      <c r="H46" s="87"/>
      <c r="I46" s="87"/>
      <c r="J46" s="103">
        <f t="shared" si="1"/>
        <v>0</v>
      </c>
      <c r="K46" s="86"/>
      <c r="L46" s="87"/>
      <c r="M46" s="87"/>
      <c r="N46" s="87"/>
      <c r="O46" s="104"/>
      <c r="P46" s="105">
        <f t="shared" si="2"/>
        <v>0</v>
      </c>
      <c r="Q46" s="106">
        <f t="shared" si="3"/>
        <v>0</v>
      </c>
      <c r="R46" s="91">
        <f t="shared" si="4"/>
        <v>0</v>
      </c>
      <c r="S46" s="98"/>
    </row>
    <row r="47" spans="1:19" x14ac:dyDescent="0.25">
      <c r="A47" s="4">
        <v>26</v>
      </c>
      <c r="B47" s="86"/>
      <c r="C47" s="87"/>
      <c r="D47" s="87"/>
      <c r="E47" s="103">
        <f t="shared" si="0"/>
        <v>0</v>
      </c>
      <c r="F47" s="86"/>
      <c r="G47" s="87"/>
      <c r="H47" s="87"/>
      <c r="I47" s="87"/>
      <c r="J47" s="103">
        <f t="shared" si="1"/>
        <v>0</v>
      </c>
      <c r="K47" s="86"/>
      <c r="L47" s="87"/>
      <c r="M47" s="87"/>
      <c r="N47" s="87"/>
      <c r="O47" s="104"/>
      <c r="P47" s="105">
        <f t="shared" si="2"/>
        <v>0</v>
      </c>
      <c r="Q47" s="106">
        <f t="shared" si="3"/>
        <v>0</v>
      </c>
      <c r="R47" s="91">
        <f t="shared" si="4"/>
        <v>0</v>
      </c>
      <c r="S47" s="98"/>
    </row>
    <row r="48" spans="1:19" x14ac:dyDescent="0.25">
      <c r="A48" s="4">
        <v>27</v>
      </c>
      <c r="B48" s="86"/>
      <c r="C48" s="87"/>
      <c r="D48" s="87"/>
      <c r="E48" s="103">
        <f t="shared" si="0"/>
        <v>0</v>
      </c>
      <c r="F48" s="86"/>
      <c r="G48" s="87"/>
      <c r="H48" s="87"/>
      <c r="I48" s="87"/>
      <c r="J48" s="103">
        <f t="shared" si="1"/>
        <v>0</v>
      </c>
      <c r="K48" s="86"/>
      <c r="L48" s="87"/>
      <c r="M48" s="87"/>
      <c r="N48" s="87"/>
      <c r="O48" s="104"/>
      <c r="P48" s="105">
        <f t="shared" si="2"/>
        <v>0</v>
      </c>
      <c r="Q48" s="106">
        <f t="shared" si="3"/>
        <v>0</v>
      </c>
      <c r="R48" s="91">
        <f t="shared" si="4"/>
        <v>0</v>
      </c>
      <c r="S48" s="98"/>
    </row>
    <row r="49" spans="1:19" x14ac:dyDescent="0.25">
      <c r="A49" s="4">
        <v>28</v>
      </c>
      <c r="B49" s="86"/>
      <c r="C49" s="87"/>
      <c r="D49" s="87"/>
      <c r="E49" s="103">
        <f t="shared" si="0"/>
        <v>0</v>
      </c>
      <c r="F49" s="86"/>
      <c r="G49" s="87"/>
      <c r="H49" s="87"/>
      <c r="I49" s="87"/>
      <c r="J49" s="103">
        <f t="shared" si="1"/>
        <v>0</v>
      </c>
      <c r="K49" s="86"/>
      <c r="L49" s="87"/>
      <c r="M49" s="87"/>
      <c r="N49" s="87"/>
      <c r="O49" s="104"/>
      <c r="P49" s="105">
        <f t="shared" si="2"/>
        <v>0</v>
      </c>
      <c r="Q49" s="106">
        <f t="shared" si="3"/>
        <v>0</v>
      </c>
      <c r="R49" s="91">
        <f t="shared" si="4"/>
        <v>0</v>
      </c>
      <c r="S49" s="98"/>
    </row>
    <row r="50" spans="1:19" x14ac:dyDescent="0.25">
      <c r="A50" s="4">
        <v>29</v>
      </c>
      <c r="B50" s="86"/>
      <c r="C50" s="87"/>
      <c r="D50" s="87"/>
      <c r="E50" s="103">
        <f t="shared" si="0"/>
        <v>0</v>
      </c>
      <c r="F50" s="86"/>
      <c r="G50" s="87"/>
      <c r="H50" s="87"/>
      <c r="I50" s="87"/>
      <c r="J50" s="103">
        <f t="shared" si="1"/>
        <v>0</v>
      </c>
      <c r="K50" s="86"/>
      <c r="L50" s="87"/>
      <c r="M50" s="87"/>
      <c r="N50" s="87"/>
      <c r="O50" s="104"/>
      <c r="P50" s="105">
        <f t="shared" si="2"/>
        <v>0</v>
      </c>
      <c r="Q50" s="106">
        <f t="shared" si="3"/>
        <v>0</v>
      </c>
      <c r="R50" s="91">
        <f t="shared" si="4"/>
        <v>0</v>
      </c>
      <c r="S50" s="98"/>
    </row>
    <row r="51" spans="1:19" x14ac:dyDescent="0.25">
      <c r="A51" s="4">
        <v>30</v>
      </c>
      <c r="B51" s="86"/>
      <c r="C51" s="87"/>
      <c r="D51" s="87"/>
      <c r="E51" s="103">
        <f t="shared" si="0"/>
        <v>0</v>
      </c>
      <c r="F51" s="86"/>
      <c r="G51" s="87"/>
      <c r="H51" s="87"/>
      <c r="I51" s="87"/>
      <c r="J51" s="103">
        <f t="shared" si="1"/>
        <v>0</v>
      </c>
      <c r="K51" s="86"/>
      <c r="L51" s="87"/>
      <c r="M51" s="87"/>
      <c r="N51" s="87"/>
      <c r="O51" s="104"/>
      <c r="P51" s="105">
        <f t="shared" si="2"/>
        <v>0</v>
      </c>
      <c r="Q51" s="106">
        <f t="shared" si="3"/>
        <v>0</v>
      </c>
      <c r="R51" s="91">
        <f t="shared" si="4"/>
        <v>0</v>
      </c>
      <c r="S51" s="98"/>
    </row>
    <row r="52" spans="1:19" ht="15.75" thickBot="1" x14ac:dyDescent="0.3">
      <c r="A52" s="5">
        <v>31</v>
      </c>
      <c r="B52" s="150"/>
      <c r="C52" s="151"/>
      <c r="D52" s="151"/>
      <c r="E52" s="152">
        <f t="shared" si="0"/>
        <v>0</v>
      </c>
      <c r="F52" s="150"/>
      <c r="G52" s="151"/>
      <c r="H52" s="151"/>
      <c r="I52" s="151"/>
      <c r="J52" s="152">
        <f t="shared" si="1"/>
        <v>0</v>
      </c>
      <c r="K52" s="150"/>
      <c r="L52" s="151"/>
      <c r="M52" s="151"/>
      <c r="N52" s="151"/>
      <c r="O52" s="153"/>
      <c r="P52" s="154">
        <f t="shared" si="2"/>
        <v>0</v>
      </c>
      <c r="Q52" s="155">
        <f t="shared" si="3"/>
        <v>0</v>
      </c>
      <c r="R52" s="156">
        <f t="shared" si="4"/>
        <v>0</v>
      </c>
      <c r="S52" s="98"/>
    </row>
    <row r="53" spans="1:19" s="177" customFormat="1" ht="15.75" thickBot="1" x14ac:dyDescent="0.3">
      <c r="A53" s="206" t="s">
        <v>110</v>
      </c>
      <c r="B53" s="168">
        <f t="shared" ref="B53:D53" si="5">+SUM(B22:B52)</f>
        <v>0</v>
      </c>
      <c r="C53" s="169">
        <f t="shared" si="5"/>
        <v>0</v>
      </c>
      <c r="D53" s="169">
        <f t="shared" si="5"/>
        <v>10</v>
      </c>
      <c r="E53" s="170">
        <f>+SUM(E22:E52)</f>
        <v>10</v>
      </c>
      <c r="F53" s="168">
        <f t="shared" ref="F53:Q53" si="6">+SUM(F22:F52)</f>
        <v>0</v>
      </c>
      <c r="G53" s="169">
        <f t="shared" si="6"/>
        <v>0</v>
      </c>
      <c r="H53" s="169">
        <f t="shared" si="6"/>
        <v>0</v>
      </c>
      <c r="I53" s="169">
        <f t="shared" si="6"/>
        <v>0</v>
      </c>
      <c r="J53" s="170">
        <f t="shared" si="6"/>
        <v>0</v>
      </c>
      <c r="K53" s="168">
        <f t="shared" si="6"/>
        <v>0</v>
      </c>
      <c r="L53" s="169">
        <f t="shared" si="6"/>
        <v>0</v>
      </c>
      <c r="M53" s="169">
        <f t="shared" si="6"/>
        <v>0</v>
      </c>
      <c r="N53" s="169">
        <f t="shared" si="6"/>
        <v>0</v>
      </c>
      <c r="O53" s="171">
        <f t="shared" si="6"/>
        <v>0</v>
      </c>
      <c r="P53" s="172">
        <f t="shared" si="6"/>
        <v>0</v>
      </c>
      <c r="Q53" s="173">
        <f t="shared" si="6"/>
        <v>0</v>
      </c>
      <c r="R53" s="174">
        <f>+SUM(R22:R52)</f>
        <v>10</v>
      </c>
      <c r="S53" s="175">
        <f>+E53+Q53</f>
        <v>10</v>
      </c>
    </row>
    <row r="54" spans="1:19" x14ac:dyDescent="0.25">
      <c r="A54" s="9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8"/>
    </row>
    <row r="55" spans="1:19" x14ac:dyDescent="0.25">
      <c r="A55" s="9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8"/>
    </row>
    <row r="56" spans="1:19" x14ac:dyDescent="0.25">
      <c r="A56" s="264" t="s">
        <v>111</v>
      </c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R56" s="90"/>
      <c r="S56" s="98"/>
    </row>
    <row r="57" spans="1:19" x14ac:dyDescent="0.25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R57" s="90"/>
      <c r="S57" s="98"/>
    </row>
    <row r="58" spans="1:19" ht="15.75" thickBot="1" x14ac:dyDescent="0.3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R58" s="90"/>
      <c r="S58" s="98"/>
    </row>
    <row r="59" spans="1:19" s="143" customFormat="1" ht="15.75" thickBot="1" x14ac:dyDescent="0.3">
      <c r="A59" s="164"/>
      <c r="B59" s="136">
        <v>27</v>
      </c>
      <c r="C59" s="137">
        <v>28</v>
      </c>
      <c r="D59" s="137">
        <v>29</v>
      </c>
      <c r="E59" s="139">
        <v>30</v>
      </c>
      <c r="F59" s="138">
        <v>31</v>
      </c>
      <c r="G59" s="165">
        <v>32</v>
      </c>
      <c r="H59" s="166"/>
      <c r="I59" s="166"/>
      <c r="J59" s="250">
        <v>33</v>
      </c>
      <c r="K59" s="251"/>
      <c r="L59" s="251"/>
      <c r="M59" s="251"/>
      <c r="N59" s="251"/>
      <c r="O59" s="252"/>
      <c r="R59" s="166"/>
      <c r="S59" s="142"/>
    </row>
    <row r="60" spans="1:19" ht="15.75" thickBot="1" x14ac:dyDescent="0.3">
      <c r="A60" s="248" t="s">
        <v>112</v>
      </c>
      <c r="B60" s="253" t="s">
        <v>113</v>
      </c>
      <c r="C60" s="254"/>
      <c r="D60" s="254"/>
      <c r="E60" s="254"/>
      <c r="F60" s="254"/>
      <c r="G60" s="255" t="s">
        <v>95</v>
      </c>
      <c r="H60" s="92"/>
      <c r="I60" s="257" t="s">
        <v>112</v>
      </c>
      <c r="J60" s="107"/>
      <c r="K60" s="259" t="s">
        <v>114</v>
      </c>
      <c r="L60" s="260"/>
      <c r="M60" s="260"/>
      <c r="N60" s="261"/>
      <c r="O60" s="262" t="s">
        <v>115</v>
      </c>
      <c r="R60" s="92"/>
      <c r="S60" s="98"/>
    </row>
    <row r="61" spans="1:19" ht="60.75" thickBot="1" x14ac:dyDescent="0.3">
      <c r="A61" s="336"/>
      <c r="B61" s="108" t="s">
        <v>116</v>
      </c>
      <c r="C61" s="109" t="s">
        <v>117</v>
      </c>
      <c r="D61" s="110" t="s">
        <v>118</v>
      </c>
      <c r="E61" s="111" t="s">
        <v>119</v>
      </c>
      <c r="F61" s="111" t="s">
        <v>120</v>
      </c>
      <c r="G61" s="256"/>
      <c r="H61" s="92"/>
      <c r="I61" s="337"/>
      <c r="J61" s="179" t="s">
        <v>121</v>
      </c>
      <c r="K61" s="112" t="s">
        <v>122</v>
      </c>
      <c r="L61" s="110" t="s">
        <v>123</v>
      </c>
      <c r="M61" s="110" t="s">
        <v>124</v>
      </c>
      <c r="N61" s="111" t="s">
        <v>125</v>
      </c>
      <c r="O61" s="338"/>
      <c r="R61" s="92"/>
      <c r="S61" s="98"/>
    </row>
    <row r="62" spans="1:19" x14ac:dyDescent="0.25">
      <c r="A62" s="113" t="s">
        <v>126</v>
      </c>
      <c r="B62" s="114">
        <f>+Enero!B62</f>
        <v>0</v>
      </c>
      <c r="C62" s="115">
        <f>+Enero!C62</f>
        <v>0</v>
      </c>
      <c r="D62" s="115">
        <f>+Enero!D62</f>
        <v>0</v>
      </c>
      <c r="E62" s="116">
        <f>+Enero!E62</f>
        <v>0</v>
      </c>
      <c r="F62" s="117">
        <f>+Enero!F62</f>
        <v>13.7</v>
      </c>
      <c r="G62" s="158">
        <f>SUM(B62:F62)</f>
        <v>13.7</v>
      </c>
      <c r="H62" s="92"/>
      <c r="I62" s="194" t="s">
        <v>126</v>
      </c>
      <c r="J62" s="49">
        <f>+Enero!J62</f>
        <v>0</v>
      </c>
      <c r="K62" s="50">
        <f>+Enero!K62</f>
        <v>0</v>
      </c>
      <c r="L62" s="50">
        <f>+Enero!L62</f>
        <v>0</v>
      </c>
      <c r="M62" s="50">
        <f>+Enero!M62</f>
        <v>0</v>
      </c>
      <c r="N62" s="51">
        <f>+Enero!N62</f>
        <v>100</v>
      </c>
      <c r="O62" s="196">
        <f>SUM(J62:N62)/100</f>
        <v>1</v>
      </c>
      <c r="R62" s="92"/>
      <c r="S62" s="98"/>
    </row>
    <row r="63" spans="1:19" x14ac:dyDescent="0.25">
      <c r="A63" s="121" t="s">
        <v>131</v>
      </c>
      <c r="B63" s="122">
        <f>+Febrero!B63</f>
        <v>0</v>
      </c>
      <c r="C63" s="123">
        <f>+Febrero!C63</f>
        <v>0</v>
      </c>
      <c r="D63" s="123">
        <f>+Febrero!D63</f>
        <v>0</v>
      </c>
      <c r="E63" s="123">
        <f>+Febrero!E63</f>
        <v>0</v>
      </c>
      <c r="F63" s="203">
        <f>+Febrero!F63</f>
        <v>20.85</v>
      </c>
      <c r="G63" s="205">
        <f>+SUM(B63:F63)</f>
        <v>20.85</v>
      </c>
      <c r="H63" s="90"/>
      <c r="I63" s="195" t="s">
        <v>131</v>
      </c>
      <c r="J63" s="52">
        <f>+Febrero!J63</f>
        <v>0</v>
      </c>
      <c r="K63" s="47">
        <f>+Febrero!K63</f>
        <v>0</v>
      </c>
      <c r="L63" s="47">
        <f>+Febrero!L63</f>
        <v>0</v>
      </c>
      <c r="M63" s="47">
        <f>+Febrero!M63</f>
        <v>0</v>
      </c>
      <c r="N63" s="53">
        <f>+Febrero!N63</f>
        <v>100</v>
      </c>
      <c r="O63" s="190">
        <f t="shared" ref="O63:O72" si="7">SUM(J63:N63)/100</f>
        <v>1</v>
      </c>
      <c r="P63" s="90"/>
      <c r="Q63" s="90"/>
      <c r="R63" s="90"/>
      <c r="S63" s="98"/>
    </row>
    <row r="64" spans="1:19" x14ac:dyDescent="0.25">
      <c r="A64" s="121" t="s">
        <v>132</v>
      </c>
      <c r="B64" s="122">
        <f>+Marzo!B64</f>
        <v>0</v>
      </c>
      <c r="C64" s="123">
        <f>+Marzo!C64</f>
        <v>0</v>
      </c>
      <c r="D64" s="123">
        <f>+Marzo!D64</f>
        <v>0</v>
      </c>
      <c r="E64" s="123">
        <f>+Marzo!E64</f>
        <v>0</v>
      </c>
      <c r="F64" s="203">
        <f>+Marzo!F64</f>
        <v>21.9</v>
      </c>
      <c r="G64" s="205">
        <f t="shared" ref="G64:G72" si="8">+SUM(B64:F64)</f>
        <v>21.9</v>
      </c>
      <c r="H64" s="90"/>
      <c r="I64" s="195" t="s">
        <v>132</v>
      </c>
      <c r="J64" s="52">
        <f>+Marzo!J64</f>
        <v>0</v>
      </c>
      <c r="K64" s="47">
        <f>+Marzo!K64</f>
        <v>0</v>
      </c>
      <c r="L64" s="47">
        <f>+Marzo!L64</f>
        <v>0</v>
      </c>
      <c r="M64" s="47">
        <f>+Marzo!M64</f>
        <v>0</v>
      </c>
      <c r="N64" s="53">
        <f>+Marzo!N64</f>
        <v>100</v>
      </c>
      <c r="O64" s="190">
        <f t="shared" si="7"/>
        <v>1</v>
      </c>
      <c r="P64" s="90"/>
      <c r="Q64" s="90"/>
      <c r="R64" s="90"/>
      <c r="S64" s="98"/>
    </row>
    <row r="65" spans="1:19" x14ac:dyDescent="0.25">
      <c r="A65" s="121" t="s">
        <v>133</v>
      </c>
      <c r="B65" s="122">
        <f>+Abril!B65</f>
        <v>0</v>
      </c>
      <c r="C65" s="123">
        <f>+Abril!C65</f>
        <v>0</v>
      </c>
      <c r="D65" s="123">
        <f>+Abril!D65</f>
        <v>0</v>
      </c>
      <c r="E65" s="123">
        <f>+Abril!E65</f>
        <v>0</v>
      </c>
      <c r="F65" s="203">
        <f>+Abril!F65</f>
        <v>34.9</v>
      </c>
      <c r="G65" s="205">
        <f t="shared" si="8"/>
        <v>34.9</v>
      </c>
      <c r="H65" s="90"/>
      <c r="I65" s="195" t="s">
        <v>133</v>
      </c>
      <c r="J65" s="52">
        <f>+Abril!J65</f>
        <v>0</v>
      </c>
      <c r="K65" s="47">
        <f>+Abril!K65</f>
        <v>0</v>
      </c>
      <c r="L65" s="47">
        <f>+Abril!L65</f>
        <v>0</v>
      </c>
      <c r="M65" s="47">
        <f>+Abril!M65</f>
        <v>0</v>
      </c>
      <c r="N65" s="53">
        <f>+Abril!N65</f>
        <v>99.999999999999972</v>
      </c>
      <c r="O65" s="190">
        <f t="shared" si="7"/>
        <v>0.99999999999999967</v>
      </c>
      <c r="P65" s="90"/>
      <c r="Q65" s="90"/>
      <c r="R65" s="90"/>
      <c r="S65" s="98"/>
    </row>
    <row r="66" spans="1:19" x14ac:dyDescent="0.25">
      <c r="A66" s="121" t="s">
        <v>134</v>
      </c>
      <c r="B66" s="122">
        <f>+Mayo!B66</f>
        <v>0</v>
      </c>
      <c r="C66" s="123">
        <f>+Mayo!C66</f>
        <v>0</v>
      </c>
      <c r="D66" s="123">
        <f>+Mayo!D66</f>
        <v>0</v>
      </c>
      <c r="E66" s="123">
        <f>+Mayo!E66</f>
        <v>0</v>
      </c>
      <c r="F66" s="203">
        <f>+Mayo!F66</f>
        <v>17.5</v>
      </c>
      <c r="G66" s="205">
        <f t="shared" si="8"/>
        <v>17.5</v>
      </c>
      <c r="H66" s="90"/>
      <c r="I66" s="195" t="s">
        <v>134</v>
      </c>
      <c r="J66" s="52">
        <f>+Mayo!J66</f>
        <v>0</v>
      </c>
      <c r="K66" s="47">
        <f>+Mayo!K66</f>
        <v>0</v>
      </c>
      <c r="L66" s="47">
        <f>+Mayo!L66</f>
        <v>0</v>
      </c>
      <c r="M66" s="47">
        <f>+Mayo!M66</f>
        <v>0</v>
      </c>
      <c r="N66" s="53">
        <f>+Mayo!N66</f>
        <v>100</v>
      </c>
      <c r="O66" s="190">
        <f t="shared" si="7"/>
        <v>1</v>
      </c>
      <c r="P66" s="90"/>
      <c r="Q66" s="90"/>
      <c r="R66" s="90"/>
      <c r="S66" s="98"/>
    </row>
    <row r="67" spans="1:19" x14ac:dyDescent="0.25">
      <c r="A67" s="121" t="s">
        <v>135</v>
      </c>
      <c r="B67" s="122">
        <f>+Junio!B67</f>
        <v>0</v>
      </c>
      <c r="C67" s="123">
        <f>+Junio!C67</f>
        <v>0</v>
      </c>
      <c r="D67" s="123">
        <f>+Junio!D67</f>
        <v>0</v>
      </c>
      <c r="E67" s="123">
        <f>+Junio!E67</f>
        <v>0</v>
      </c>
      <c r="F67" s="203">
        <f>+Junio!F67</f>
        <v>20.8</v>
      </c>
      <c r="G67" s="205">
        <f t="shared" si="8"/>
        <v>20.8</v>
      </c>
      <c r="H67" s="90"/>
      <c r="I67" s="195" t="s">
        <v>135</v>
      </c>
      <c r="J67" s="52">
        <f>+Junio!J67</f>
        <v>0</v>
      </c>
      <c r="K67" s="47">
        <f>+Junio!K67</f>
        <v>0</v>
      </c>
      <c r="L67" s="47">
        <f>+Junio!L67</f>
        <v>0</v>
      </c>
      <c r="M67" s="47">
        <f>+Junio!M67</f>
        <v>0</v>
      </c>
      <c r="N67" s="53">
        <f>+Junio!N67</f>
        <v>100</v>
      </c>
      <c r="O67" s="190">
        <f t="shared" si="7"/>
        <v>1</v>
      </c>
      <c r="P67" s="90"/>
      <c r="Q67" s="90"/>
      <c r="R67" s="90"/>
      <c r="S67" s="98"/>
    </row>
    <row r="68" spans="1:19" x14ac:dyDescent="0.25">
      <c r="A68" s="121" t="s">
        <v>136</v>
      </c>
      <c r="B68" s="122">
        <f>+Julio!B68</f>
        <v>0</v>
      </c>
      <c r="C68" s="123">
        <f>+Julio!C68</f>
        <v>0</v>
      </c>
      <c r="D68" s="123">
        <f>+Julio!D68</f>
        <v>0</v>
      </c>
      <c r="E68" s="123">
        <f>+Julio!E68</f>
        <v>0</v>
      </c>
      <c r="F68" s="203">
        <f>+Julio!F68</f>
        <v>19.5</v>
      </c>
      <c r="G68" s="205">
        <f t="shared" si="8"/>
        <v>19.5</v>
      </c>
      <c r="H68" s="90"/>
      <c r="I68" s="195" t="s">
        <v>136</v>
      </c>
      <c r="J68" s="52">
        <f>+Julio!J68</f>
        <v>0</v>
      </c>
      <c r="K68" s="47">
        <f>+Julio!K68</f>
        <v>0</v>
      </c>
      <c r="L68" s="47">
        <f>+Julio!L68</f>
        <v>0</v>
      </c>
      <c r="M68" s="47">
        <f>+Julio!M68</f>
        <v>0</v>
      </c>
      <c r="N68" s="53">
        <f>+Julio!N68</f>
        <v>100</v>
      </c>
      <c r="O68" s="190">
        <f t="shared" si="7"/>
        <v>1</v>
      </c>
      <c r="P68" s="90"/>
      <c r="Q68" s="90"/>
      <c r="R68" s="90"/>
      <c r="S68" s="98"/>
    </row>
    <row r="69" spans="1:19" x14ac:dyDescent="0.25">
      <c r="A69" s="121" t="s">
        <v>137</v>
      </c>
      <c r="B69" s="122">
        <f>+Agosto!B69</f>
        <v>0</v>
      </c>
      <c r="C69" s="123">
        <f>+Agosto!C69</f>
        <v>0</v>
      </c>
      <c r="D69" s="123">
        <f>+Agosto!D69</f>
        <v>0</v>
      </c>
      <c r="E69" s="123">
        <f>+Agosto!E69</f>
        <v>0</v>
      </c>
      <c r="F69" s="203">
        <f>+Agosto!F69</f>
        <v>17.5</v>
      </c>
      <c r="G69" s="205">
        <f t="shared" si="8"/>
        <v>17.5</v>
      </c>
      <c r="H69" s="90"/>
      <c r="I69" s="195" t="s">
        <v>137</v>
      </c>
      <c r="J69" s="52">
        <f>+Agosto!J69</f>
        <v>0</v>
      </c>
      <c r="K69" s="47">
        <f>+Agosto!K69</f>
        <v>0</v>
      </c>
      <c r="L69" s="47">
        <f>+Agosto!L69</f>
        <v>0</v>
      </c>
      <c r="M69" s="47">
        <f>+Agosto!M69</f>
        <v>0</v>
      </c>
      <c r="N69" s="53">
        <f>+Agosto!N69</f>
        <v>100</v>
      </c>
      <c r="O69" s="190">
        <f t="shared" si="7"/>
        <v>1</v>
      </c>
      <c r="P69" s="90"/>
      <c r="Q69" s="90"/>
      <c r="R69" s="90"/>
      <c r="S69" s="98"/>
    </row>
    <row r="70" spans="1:19" x14ac:dyDescent="0.25">
      <c r="A70" s="121" t="s">
        <v>138</v>
      </c>
      <c r="B70" s="125">
        <f>+Septiembre!B70</f>
        <v>0</v>
      </c>
      <c r="C70" s="126">
        <f>+Septiembre!C70</f>
        <v>0</v>
      </c>
      <c r="D70" s="126">
        <f>+Septiembre!D70</f>
        <v>0</v>
      </c>
      <c r="E70" s="126">
        <f>+Septiembre!E70</f>
        <v>0</v>
      </c>
      <c r="F70" s="204">
        <f>+Septiembre!F70</f>
        <v>24</v>
      </c>
      <c r="G70" s="205">
        <f t="shared" si="8"/>
        <v>24</v>
      </c>
      <c r="H70" s="90"/>
      <c r="I70" s="195" t="s">
        <v>138</v>
      </c>
      <c r="J70" s="52">
        <f>+Septiembre!J70</f>
        <v>0</v>
      </c>
      <c r="K70" s="47">
        <f>+Septiembre!K70</f>
        <v>0</v>
      </c>
      <c r="L70" s="47">
        <f>+Septiembre!L70</f>
        <v>0</v>
      </c>
      <c r="M70" s="47">
        <f>+Septiembre!M70</f>
        <v>0</v>
      </c>
      <c r="N70" s="53">
        <f>+Septiembre!N70</f>
        <v>100</v>
      </c>
      <c r="O70" s="190">
        <f t="shared" si="7"/>
        <v>1</v>
      </c>
      <c r="P70" s="90"/>
      <c r="Q70" s="90"/>
      <c r="R70" s="90"/>
      <c r="S70" s="98"/>
    </row>
    <row r="71" spans="1:19" x14ac:dyDescent="0.25">
      <c r="A71" s="121" t="s">
        <v>139</v>
      </c>
      <c r="B71" s="122">
        <f>+Octubre!B71</f>
        <v>0</v>
      </c>
      <c r="C71" s="123">
        <f>+Octubre!C71</f>
        <v>0</v>
      </c>
      <c r="D71" s="123">
        <f>+Octubre!D71</f>
        <v>0</v>
      </c>
      <c r="E71" s="123">
        <f>+Octubre!E71</f>
        <v>0</v>
      </c>
      <c r="F71" s="203">
        <f>+Octubre!F71</f>
        <v>24.5</v>
      </c>
      <c r="G71" s="205">
        <f t="shared" si="8"/>
        <v>24.5</v>
      </c>
      <c r="H71" s="90"/>
      <c r="I71" s="195" t="s">
        <v>139</v>
      </c>
      <c r="J71" s="52">
        <f>+Octubre!J71</f>
        <v>0</v>
      </c>
      <c r="K71" s="47">
        <f>+Octubre!K71</f>
        <v>0</v>
      </c>
      <c r="L71" s="47">
        <f>+Octubre!L71</f>
        <v>0</v>
      </c>
      <c r="M71" s="47">
        <f>+Octubre!M71</f>
        <v>0</v>
      </c>
      <c r="N71" s="53">
        <f>+Octubre!N71</f>
        <v>100</v>
      </c>
      <c r="O71" s="190">
        <f t="shared" si="7"/>
        <v>1</v>
      </c>
      <c r="P71" s="90"/>
      <c r="Q71" s="90"/>
      <c r="R71" s="90"/>
      <c r="S71" s="98"/>
    </row>
    <row r="72" spans="1:19" x14ac:dyDescent="0.25">
      <c r="A72" s="121" t="s">
        <v>140</v>
      </c>
      <c r="B72" s="122">
        <f>+Noviembre!B72</f>
        <v>0</v>
      </c>
      <c r="C72" s="123">
        <f>+Noviembre!C72</f>
        <v>0</v>
      </c>
      <c r="D72" s="123">
        <f>+Noviembre!D72</f>
        <v>0</v>
      </c>
      <c r="E72" s="123">
        <f>+Noviembre!E72</f>
        <v>0</v>
      </c>
      <c r="F72" s="203">
        <f>+Noviembre!F72</f>
        <v>28.4</v>
      </c>
      <c r="G72" s="205">
        <f t="shared" si="8"/>
        <v>28.4</v>
      </c>
      <c r="H72" s="90"/>
      <c r="I72" s="195" t="s">
        <v>140</v>
      </c>
      <c r="J72" s="52">
        <f>+Noviembre!J72</f>
        <v>0</v>
      </c>
      <c r="K72" s="47">
        <f>+Noviembre!K72</f>
        <v>0</v>
      </c>
      <c r="L72" s="47">
        <f>+Noviembre!L72</f>
        <v>0</v>
      </c>
      <c r="M72" s="47">
        <f>+Noviembre!M72</f>
        <v>0</v>
      </c>
      <c r="N72" s="53">
        <f>+Noviembre!N72</f>
        <v>100</v>
      </c>
      <c r="O72" s="190">
        <f t="shared" si="7"/>
        <v>1</v>
      </c>
      <c r="P72" s="90"/>
      <c r="Q72" s="90"/>
      <c r="R72" s="90"/>
      <c r="S72" s="98"/>
    </row>
    <row r="73" spans="1:19" ht="15.75" thickBot="1" x14ac:dyDescent="0.3">
      <c r="A73" s="127" t="s">
        <v>141</v>
      </c>
      <c r="B73" s="128">
        <v>0</v>
      </c>
      <c r="C73" s="129">
        <v>0</v>
      </c>
      <c r="D73" s="129">
        <v>0</v>
      </c>
      <c r="E73" s="129">
        <v>0</v>
      </c>
      <c r="F73" s="149">
        <v>10</v>
      </c>
      <c r="G73" s="160">
        <f>+SUM(B73:F73)</f>
        <v>10</v>
      </c>
      <c r="H73" s="90"/>
      <c r="I73" s="119" t="s">
        <v>141</v>
      </c>
      <c r="J73" s="72">
        <f>(B73/$R$53)*100</f>
        <v>0</v>
      </c>
      <c r="K73" s="38">
        <f>(C73/$R$53)*100</f>
        <v>0</v>
      </c>
      <c r="L73" s="38">
        <f>(D73/$R$53)*100</f>
        <v>0</v>
      </c>
      <c r="M73" s="38">
        <f>(E73/$R$53)*100</f>
        <v>0</v>
      </c>
      <c r="N73" s="54">
        <f>(F73/$R$53)*100</f>
        <v>100</v>
      </c>
      <c r="O73" s="202">
        <f>(SUM(J73:N73)/100)</f>
        <v>1</v>
      </c>
      <c r="P73" s="90"/>
      <c r="Q73" s="90"/>
      <c r="R73" s="90"/>
      <c r="S73" s="98"/>
    </row>
    <row r="74" spans="1:19" x14ac:dyDescent="0.25">
      <c r="A74" s="97"/>
      <c r="B74" s="130"/>
      <c r="C74" s="130"/>
      <c r="D74" s="130"/>
      <c r="E74" s="130"/>
      <c r="F74" s="130"/>
      <c r="G74" s="90"/>
      <c r="H74" s="90"/>
      <c r="J74" s="131"/>
      <c r="K74" s="90"/>
      <c r="L74" s="90"/>
      <c r="M74" s="90"/>
      <c r="N74" s="90"/>
      <c r="O74" s="90"/>
      <c r="P74" s="90"/>
      <c r="Q74" s="90"/>
      <c r="R74" s="90"/>
      <c r="S74" s="98"/>
    </row>
    <row r="75" spans="1:19" x14ac:dyDescent="0.25">
      <c r="A75" s="97"/>
      <c r="B75" s="90"/>
      <c r="C75" s="90"/>
      <c r="D75" s="90"/>
      <c r="E75" s="90"/>
      <c r="F75" s="90"/>
      <c r="G75" s="90"/>
      <c r="H75" s="90"/>
      <c r="I75" s="131" t="s">
        <v>127</v>
      </c>
      <c r="J75" s="131"/>
      <c r="K75" s="90"/>
      <c r="L75" s="90"/>
      <c r="M75" s="90"/>
      <c r="N75" s="90"/>
      <c r="O75" s="90"/>
      <c r="P75" s="90"/>
      <c r="Q75" s="90"/>
      <c r="R75" s="90"/>
      <c r="S75" s="98"/>
    </row>
    <row r="76" spans="1:19" x14ac:dyDescent="0.25">
      <c r="A76" s="97"/>
      <c r="B76" s="90"/>
      <c r="C76" s="90"/>
      <c r="D76" s="90"/>
      <c r="E76" s="90"/>
      <c r="F76" s="90"/>
      <c r="G76" s="90"/>
      <c r="H76" s="90"/>
      <c r="I76" s="131" t="s">
        <v>128</v>
      </c>
      <c r="J76" s="131"/>
      <c r="K76" s="90"/>
      <c r="L76" s="90"/>
      <c r="M76" s="90"/>
      <c r="N76" s="90"/>
      <c r="O76" s="90"/>
      <c r="P76" s="90"/>
      <c r="Q76" s="90"/>
      <c r="R76" s="90"/>
      <c r="S76" s="98"/>
    </row>
    <row r="77" spans="1:19" x14ac:dyDescent="0.25">
      <c r="A77" s="97"/>
      <c r="B77" s="90"/>
      <c r="C77" s="90"/>
      <c r="D77" s="90"/>
      <c r="E77" s="90"/>
      <c r="F77" s="90"/>
      <c r="G77" s="90"/>
      <c r="H77" s="90"/>
      <c r="I77" s="131" t="s">
        <v>129</v>
      </c>
      <c r="J77" s="131"/>
      <c r="K77" s="90"/>
      <c r="L77" s="90"/>
      <c r="M77" s="90"/>
      <c r="N77" s="90"/>
      <c r="O77" s="90"/>
      <c r="P77" s="90"/>
      <c r="Q77" s="90"/>
      <c r="R77" s="90"/>
      <c r="S77" s="98"/>
    </row>
    <row r="78" spans="1:19" ht="15.75" thickBot="1" x14ac:dyDescent="0.3">
      <c r="A78" s="132"/>
      <c r="B78" s="93"/>
      <c r="C78" s="93"/>
      <c r="D78" s="93"/>
      <c r="E78" s="93"/>
      <c r="F78" s="93"/>
      <c r="G78" s="93"/>
      <c r="H78" s="93"/>
      <c r="I78" s="133" t="s">
        <v>130</v>
      </c>
      <c r="J78" s="133"/>
      <c r="K78" s="93"/>
      <c r="L78" s="93"/>
      <c r="M78" s="93"/>
      <c r="N78" s="93"/>
      <c r="O78" s="93"/>
      <c r="P78" s="93"/>
      <c r="Q78" s="93"/>
      <c r="R78" s="93"/>
      <c r="S78" s="134"/>
    </row>
  </sheetData>
  <sheetProtection algorithmName="SHA-512" hashValue="IBjZ6twu7GXe0eSZHCwnzv46IUBkRwdqsLC+xsEKSh41JaYXcoJ4+TawlUiS2C81+64jxIVMImjToZZcC7fXhg==" saltValue="t0CqehT/BPH4Ct5X1+CdOw==" spinCount="100000" sheet="1" selectLockedCells="1"/>
  <mergeCells count="45">
    <mergeCell ref="J59:O59"/>
    <mergeCell ref="A60:A61"/>
    <mergeCell ref="B60:F60"/>
    <mergeCell ref="G60:G61"/>
    <mergeCell ref="I60:I61"/>
    <mergeCell ref="K60:N60"/>
    <mergeCell ref="O60:O61"/>
    <mergeCell ref="A56:O58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73">
    <cfRule type="cellIs" dxfId="14" priority="17" operator="notEqual">
      <formula>$R$53</formula>
    </cfRule>
  </conditionalFormatting>
  <conditionalFormatting sqref="O62:O73">
    <cfRule type="cellIs" dxfId="13" priority="16" operator="notEqual">
      <formula>100%</formula>
    </cfRule>
  </conditionalFormatting>
  <pageMargins left="0.7" right="0.7" top="0.75" bottom="0.75" header="0.3" footer="0.3"/>
  <pageSetup paperSize="2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notEqual" id="{D32D429E-ED92-4B5A-ABA8-9924EF18DA2F}">
            <xm:f>Enero!R53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6" operator="notEqual" id="{24A8552B-3EA6-40CD-B44F-F6BAB4872D1B}">
            <xm:f>Febrero!R53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7" operator="notEqual" id="{0AAF9C05-C31E-4DDB-9675-12B579322FDD}">
            <xm:f>Marzo!R53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8" operator="notEqual" id="{B0F85E6B-8046-4679-8B91-663C5D5C9232}">
            <xm:f>Abril!R53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9" operator="notEqual" id="{1FC6034C-6CDD-46B7-A97B-088F535BB8E2}">
            <xm:f>Mayo!R53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ellIs" priority="10" operator="notEqual" id="{1F96BB6C-ACCE-441E-9426-C31CA03A32E0}">
            <xm:f>Junio!R53</xm:f>
            <x14:dxf>
              <fill>
                <patternFill>
                  <bgColor rgb="FFFF0000"/>
                </patternFill>
              </fill>
            </x14:dxf>
          </x14:cfRule>
          <xm:sqref>G67</xm:sqref>
        </x14:conditionalFormatting>
        <x14:conditionalFormatting xmlns:xm="http://schemas.microsoft.com/office/excel/2006/main">
          <x14:cfRule type="cellIs" priority="11" operator="notEqual" id="{CC38BEA2-F4C8-4864-A6AB-81DA6E3258E0}">
            <xm:f>Julio!R53</xm:f>
            <x14:dxf>
              <fill>
                <patternFill>
                  <bgColor rgb="FFFF0000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cellIs" priority="12" operator="notEqual" id="{4775FAC6-24D2-46DB-AF1E-D1041B660FDA}">
            <xm:f>Agosto!R53</xm:f>
            <x14:dxf>
              <fill>
                <patternFill>
                  <bgColor rgb="FFFF0000"/>
                </patternFill>
              </fill>
            </x14:dxf>
          </x14:cfRule>
          <xm:sqref>G69</xm:sqref>
        </x14:conditionalFormatting>
        <x14:conditionalFormatting xmlns:xm="http://schemas.microsoft.com/office/excel/2006/main">
          <x14:cfRule type="cellIs" priority="13" operator="notEqual" id="{56792497-72C7-4255-AE48-0BF9FEE7DD0F}">
            <xm:f>Septiembre!R53</xm:f>
            <x14:dxf>
              <fill>
                <patternFill>
                  <bgColor rgb="FFFF0000"/>
                </patternFill>
              </fill>
            </x14:dxf>
          </x14:cfRule>
          <xm:sqref>G70</xm:sqref>
        </x14:conditionalFormatting>
        <x14:conditionalFormatting xmlns:xm="http://schemas.microsoft.com/office/excel/2006/main">
          <x14:cfRule type="cellIs" priority="14" operator="notEqual" id="{1A6789C4-0428-48A3-A70B-BE372D1E2995}">
            <xm:f>Octubre!R53</xm:f>
            <x14:dxf>
              <fill>
                <patternFill>
                  <bgColor rgb="FFFF0000"/>
                </patternFill>
              </fill>
            </x14:dxf>
          </x14:cfRule>
          <xm:sqref>G71</xm:sqref>
        </x14:conditionalFormatting>
        <x14:conditionalFormatting xmlns:xm="http://schemas.microsoft.com/office/excel/2006/main">
          <x14:cfRule type="cellIs" priority="15" operator="notEqual" id="{CAE3AEDE-6807-4A29-BF7E-2C52EF3A18DC}">
            <xm:f>Noviembre!R53</xm:f>
            <x14:dxf>
              <fill>
                <patternFill>
                  <bgColor rgb="FFFF0000"/>
                </patternFill>
              </fill>
            </x14:dxf>
          </x14:cfRule>
          <xm:sqref>G72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495A-66B1-475D-AFFC-3A3CECFC6666}">
  <dimension ref="A1:V78"/>
  <sheetViews>
    <sheetView showGridLines="0" topLeftCell="A13" zoomScale="70" zoomScaleNormal="70" workbookViewId="0">
      <selection activeCell="A22" sqref="A22"/>
    </sheetView>
  </sheetViews>
  <sheetFormatPr baseColWidth="10" defaultColWidth="0" defaultRowHeight="15" customHeight="1" zeroHeight="1" x14ac:dyDescent="0.25"/>
  <cols>
    <col min="1" max="1" width="11.42578125" customWidth="1"/>
    <col min="2" max="2" width="23" customWidth="1"/>
    <col min="3" max="3" width="17.28515625" customWidth="1"/>
    <col min="4" max="4" width="17.85546875" customWidth="1"/>
    <col min="5" max="5" width="16" customWidth="1"/>
    <col min="6" max="6" width="17" customWidth="1"/>
    <col min="7" max="7" width="12.7109375" customWidth="1"/>
    <col min="8" max="8" width="14.28515625" customWidth="1"/>
    <col min="9" max="9" width="15.140625" customWidth="1"/>
    <col min="10" max="10" width="13.7109375" customWidth="1"/>
    <col min="11" max="11" width="15.7109375" customWidth="1"/>
    <col min="12" max="12" width="15.140625" customWidth="1"/>
    <col min="13" max="13" width="12.85546875" customWidth="1"/>
    <col min="14" max="14" width="15.85546875" customWidth="1"/>
    <col min="15" max="15" width="14.140625" customWidth="1"/>
    <col min="16" max="16" width="12" customWidth="1"/>
    <col min="17" max="17" width="13.42578125" customWidth="1"/>
    <col min="18" max="18" width="12.85546875" bestFit="1" customWidth="1"/>
    <col min="19" max="20" width="11.42578125" customWidth="1"/>
    <col min="21" max="21" width="9.42578125" hidden="1" customWidth="1"/>
    <col min="22" max="22" width="0" hidden="1" customWidth="1"/>
    <col min="23" max="16384" width="11.42578125" hidden="1"/>
  </cols>
  <sheetData>
    <row r="1" spans="1:19" x14ac:dyDescent="0.25">
      <c r="A1" s="346"/>
      <c r="B1" s="347"/>
      <c r="C1" s="347"/>
      <c r="D1" s="364" t="s">
        <v>77</v>
      </c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5"/>
      <c r="Q1" s="368" t="s">
        <v>78</v>
      </c>
      <c r="R1" s="369"/>
      <c r="S1" s="370"/>
    </row>
    <row r="2" spans="1:19" ht="15.75" thickBot="1" x14ac:dyDescent="0.3">
      <c r="A2" s="348"/>
      <c r="B2" s="349"/>
      <c r="C2" s="349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7"/>
      <c r="Q2" s="371"/>
      <c r="R2" s="372"/>
      <c r="S2" s="373"/>
    </row>
    <row r="3" spans="1:19" x14ac:dyDescent="0.25">
      <c r="A3" s="348"/>
      <c r="B3" s="349"/>
      <c r="C3" s="349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  <c r="Q3" s="374" t="s">
        <v>79</v>
      </c>
      <c r="R3" s="375"/>
      <c r="S3" s="376"/>
    </row>
    <row r="4" spans="1:19" ht="15.75" thickBot="1" x14ac:dyDescent="0.3">
      <c r="A4" s="348"/>
      <c r="B4" s="349"/>
      <c r="C4" s="349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7"/>
      <c r="Q4" s="377"/>
      <c r="R4" s="378"/>
      <c r="S4" s="379"/>
    </row>
    <row r="5" spans="1:19" x14ac:dyDescent="0.25">
      <c r="A5" s="348"/>
      <c r="B5" s="349"/>
      <c r="C5" s="349"/>
      <c r="D5" s="366"/>
      <c r="E5" s="366"/>
      <c r="F5" s="366"/>
      <c r="G5" s="366"/>
      <c r="H5" s="366"/>
      <c r="I5" s="366"/>
      <c r="J5" s="366"/>
      <c r="K5" s="366"/>
      <c r="L5" s="366"/>
      <c r="M5" s="366"/>
      <c r="N5" s="366"/>
      <c r="O5" s="366"/>
      <c r="P5" s="367"/>
      <c r="Q5" s="380" t="s">
        <v>80</v>
      </c>
      <c r="R5" s="381"/>
      <c r="S5" s="382"/>
    </row>
    <row r="6" spans="1:19" ht="15.75" thickBot="1" x14ac:dyDescent="0.3">
      <c r="A6" s="348"/>
      <c r="B6" s="349"/>
      <c r="C6" s="349"/>
      <c r="D6" s="366"/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7"/>
      <c r="Q6" s="383"/>
      <c r="R6" s="384"/>
      <c r="S6" s="385"/>
    </row>
    <row r="7" spans="1:19" x14ac:dyDescent="0.25">
      <c r="A7" s="350" t="s">
        <v>81</v>
      </c>
      <c r="B7" s="351"/>
      <c r="C7" s="351"/>
      <c r="D7" s="386"/>
      <c r="E7" s="387"/>
      <c r="F7" s="387"/>
      <c r="G7" s="387"/>
      <c r="H7" s="387"/>
      <c r="I7" s="387"/>
      <c r="J7" s="388"/>
      <c r="K7" s="355" t="s">
        <v>82</v>
      </c>
      <c r="L7" s="355"/>
      <c r="M7" s="355"/>
      <c r="N7" s="389"/>
      <c r="O7" s="389"/>
      <c r="P7" s="389"/>
      <c r="Q7" s="389"/>
      <c r="R7" s="389"/>
      <c r="S7" s="390"/>
    </row>
    <row r="8" spans="1:19" x14ac:dyDescent="0.25">
      <c r="A8" s="350" t="s">
        <v>83</v>
      </c>
      <c r="B8" s="351"/>
      <c r="C8" s="351"/>
      <c r="D8" s="386"/>
      <c r="E8" s="387"/>
      <c r="F8" s="387"/>
      <c r="G8" s="387"/>
      <c r="H8" s="387"/>
      <c r="I8" s="387"/>
      <c r="J8" s="388"/>
      <c r="K8" s="355" t="s">
        <v>84</v>
      </c>
      <c r="L8" s="355"/>
      <c r="M8" s="355"/>
      <c r="N8" s="389"/>
      <c r="O8" s="389"/>
      <c r="P8" s="389"/>
      <c r="Q8" s="389"/>
      <c r="R8" s="389"/>
      <c r="S8" s="390"/>
    </row>
    <row r="9" spans="1:19" x14ac:dyDescent="0.25">
      <c r="A9" s="350" t="s">
        <v>85</v>
      </c>
      <c r="B9" s="351"/>
      <c r="C9" s="351"/>
      <c r="D9" s="386"/>
      <c r="E9" s="387"/>
      <c r="F9" s="387"/>
      <c r="G9" s="387"/>
      <c r="H9" s="387"/>
      <c r="I9" s="387"/>
      <c r="J9" s="388"/>
      <c r="K9" s="351" t="s">
        <v>86</v>
      </c>
      <c r="L9" s="351"/>
      <c r="M9" s="351"/>
      <c r="N9" s="389"/>
      <c r="O9" s="389"/>
      <c r="P9" s="389"/>
      <c r="Q9" s="389"/>
      <c r="R9" s="389"/>
      <c r="S9" s="390"/>
    </row>
    <row r="10" spans="1:19" x14ac:dyDescent="0.25">
      <c r="A10" s="350" t="s">
        <v>87</v>
      </c>
      <c r="B10" s="351"/>
      <c r="C10" s="351"/>
      <c r="D10" s="386"/>
      <c r="E10" s="387"/>
      <c r="F10" s="387"/>
      <c r="G10" s="387"/>
      <c r="H10" s="387"/>
      <c r="I10" s="387"/>
      <c r="J10" s="388"/>
      <c r="K10" s="351" t="s">
        <v>88</v>
      </c>
      <c r="L10" s="351"/>
      <c r="M10" s="351"/>
      <c r="N10" s="389"/>
      <c r="O10" s="389"/>
      <c r="P10" s="389"/>
      <c r="Q10" s="389"/>
      <c r="R10" s="389"/>
      <c r="S10" s="390"/>
    </row>
    <row r="11" spans="1:19" x14ac:dyDescent="0.25">
      <c r="A11" s="354" t="s">
        <v>89</v>
      </c>
      <c r="B11" s="355"/>
      <c r="C11" s="355"/>
      <c r="D11" s="391"/>
      <c r="E11" s="392"/>
      <c r="F11" s="392"/>
      <c r="G11" s="392"/>
      <c r="H11" s="392"/>
      <c r="I11" s="392"/>
      <c r="J11" s="393"/>
      <c r="K11" s="394"/>
      <c r="L11" s="394"/>
      <c r="M11" s="394"/>
      <c r="N11" s="395"/>
      <c r="O11" s="395"/>
      <c r="P11" s="395"/>
      <c r="Q11" s="395"/>
      <c r="R11" s="395"/>
      <c r="S11" s="396"/>
    </row>
    <row r="12" spans="1:19" x14ac:dyDescent="0.25">
      <c r="R12" s="7"/>
      <c r="S12" s="8"/>
    </row>
    <row r="13" spans="1:19" x14ac:dyDescent="0.25">
      <c r="S13" s="9"/>
    </row>
    <row r="14" spans="1:19" x14ac:dyDescent="0.25">
      <c r="A14" s="12"/>
      <c r="B14" s="10"/>
      <c r="C14" s="10"/>
      <c r="D14" s="10"/>
      <c r="E14" s="10"/>
      <c r="F14" s="10"/>
      <c r="G14" s="10" t="s">
        <v>90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1"/>
    </row>
    <row r="15" spans="1:19" ht="15.75" thickBot="1" x14ac:dyDescent="0.3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</row>
    <row r="16" spans="1:19" x14ac:dyDescent="0.25">
      <c r="A16" s="356" t="s">
        <v>91</v>
      </c>
      <c r="B16" s="357"/>
      <c r="C16" s="357"/>
      <c r="D16" s="357"/>
      <c r="E16" s="357"/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8"/>
      <c r="S16" s="11"/>
    </row>
    <row r="17" spans="1:19" ht="15.75" thickBot="1" x14ac:dyDescent="0.3">
      <c r="A17" s="359"/>
      <c r="B17" s="360"/>
      <c r="C17" s="360"/>
      <c r="D17" s="360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360"/>
      <c r="P17" s="360"/>
      <c r="Q17" s="360"/>
      <c r="R17" s="361"/>
      <c r="S17" s="11"/>
    </row>
    <row r="18" spans="1:19" ht="15.75" thickBot="1" x14ac:dyDescent="0.3">
      <c r="A18" s="13"/>
      <c r="B18" s="14">
        <v>10</v>
      </c>
      <c r="C18" s="15">
        <v>11</v>
      </c>
      <c r="D18" s="15">
        <v>12</v>
      </c>
      <c r="E18" s="16">
        <v>13</v>
      </c>
      <c r="F18" s="14">
        <v>14</v>
      </c>
      <c r="G18" s="15">
        <v>15</v>
      </c>
      <c r="H18" s="15">
        <v>16</v>
      </c>
      <c r="I18" s="15">
        <v>17</v>
      </c>
      <c r="J18" s="16">
        <v>18</v>
      </c>
      <c r="K18" s="14">
        <v>19</v>
      </c>
      <c r="L18" s="15">
        <v>20</v>
      </c>
      <c r="M18" s="15">
        <v>21</v>
      </c>
      <c r="N18" s="15">
        <v>22</v>
      </c>
      <c r="O18" s="17">
        <v>23</v>
      </c>
      <c r="P18" s="18">
        <v>24</v>
      </c>
      <c r="Q18" s="19">
        <v>0</v>
      </c>
      <c r="R18" s="20">
        <v>26</v>
      </c>
      <c r="S18" s="11"/>
    </row>
    <row r="19" spans="1:19" ht="15.75" thickBot="1" x14ac:dyDescent="0.3">
      <c r="A19" s="397" t="s">
        <v>92</v>
      </c>
      <c r="B19" s="400" t="s">
        <v>93</v>
      </c>
      <c r="C19" s="401"/>
      <c r="D19" s="402"/>
      <c r="E19" s="406" t="s">
        <v>34</v>
      </c>
      <c r="F19" s="409" t="s">
        <v>94</v>
      </c>
      <c r="G19" s="410"/>
      <c r="H19" s="410"/>
      <c r="I19" s="410"/>
      <c r="J19" s="410"/>
      <c r="K19" s="410"/>
      <c r="L19" s="410"/>
      <c r="M19" s="410"/>
      <c r="N19" s="410"/>
      <c r="O19" s="410"/>
      <c r="P19" s="410"/>
      <c r="Q19" s="411" t="s">
        <v>58</v>
      </c>
      <c r="R19" s="414" t="s">
        <v>95</v>
      </c>
      <c r="S19" s="11"/>
    </row>
    <row r="20" spans="1:19" ht="15.75" thickBot="1" x14ac:dyDescent="0.3">
      <c r="A20" s="398"/>
      <c r="B20" s="403"/>
      <c r="C20" s="404"/>
      <c r="D20" s="405"/>
      <c r="E20" s="407"/>
      <c r="F20" s="417" t="s">
        <v>96</v>
      </c>
      <c r="G20" s="418"/>
      <c r="H20" s="418"/>
      <c r="I20" s="419"/>
      <c r="J20" s="420" t="s">
        <v>43</v>
      </c>
      <c r="K20" s="417" t="s">
        <v>97</v>
      </c>
      <c r="L20" s="418"/>
      <c r="M20" s="418"/>
      <c r="N20" s="418"/>
      <c r="O20" s="419"/>
      <c r="P20" s="411" t="s">
        <v>56</v>
      </c>
      <c r="Q20" s="412"/>
      <c r="R20" s="415"/>
      <c r="S20" s="11"/>
    </row>
    <row r="21" spans="1:19" ht="60.75" thickBot="1" x14ac:dyDescent="0.3">
      <c r="A21" s="399"/>
      <c r="B21" s="21" t="s">
        <v>142</v>
      </c>
      <c r="C21" s="22" t="s">
        <v>143</v>
      </c>
      <c r="D21" s="22" t="s">
        <v>144</v>
      </c>
      <c r="E21" s="408"/>
      <c r="F21" s="21" t="s">
        <v>145</v>
      </c>
      <c r="G21" s="22" t="s">
        <v>146</v>
      </c>
      <c r="H21" s="22" t="s">
        <v>147</v>
      </c>
      <c r="I21" s="22" t="s">
        <v>148</v>
      </c>
      <c r="J21" s="421"/>
      <c r="K21" s="21" t="s">
        <v>149</v>
      </c>
      <c r="L21" s="22" t="s">
        <v>150</v>
      </c>
      <c r="M21" s="22" t="s">
        <v>151</v>
      </c>
      <c r="N21" s="22" t="s">
        <v>152</v>
      </c>
      <c r="O21" s="23" t="s">
        <v>153</v>
      </c>
      <c r="P21" s="413"/>
      <c r="Q21" s="413"/>
      <c r="R21" s="416"/>
      <c r="S21" s="11"/>
    </row>
    <row r="22" spans="1:19" x14ac:dyDescent="0.25">
      <c r="A22" s="3" t="s">
        <v>126</v>
      </c>
      <c r="B22" s="84">
        <f>+Enero!$B$53</f>
        <v>0</v>
      </c>
      <c r="C22" s="84">
        <f>+Enero!$C$53</f>
        <v>0</v>
      </c>
      <c r="D22" s="84">
        <f>+Enero!$D$53</f>
        <v>13.2</v>
      </c>
      <c r="E22" s="74">
        <f>+SUM(B22:D22)</f>
        <v>13.2</v>
      </c>
      <c r="F22" s="84">
        <f>+Enero!F53</f>
        <v>0.5</v>
      </c>
      <c r="G22" s="84">
        <f>+Enero!G53</f>
        <v>0</v>
      </c>
      <c r="H22" s="84">
        <f>+Enero!H53</f>
        <v>0</v>
      </c>
      <c r="I22" s="84">
        <f>+Enero!I53</f>
        <v>0</v>
      </c>
      <c r="J22" s="74">
        <f>+SUM(F22:I22)</f>
        <v>0.5</v>
      </c>
      <c r="K22" s="84">
        <f>+Enero!$K$53</f>
        <v>0</v>
      </c>
      <c r="L22" s="84">
        <f>+Enero!$L$53</f>
        <v>0</v>
      </c>
      <c r="M22" s="84">
        <f>+Enero!$M$53</f>
        <v>0</v>
      </c>
      <c r="N22" s="84">
        <f>+Enero!$N$53</f>
        <v>0</v>
      </c>
      <c r="O22" s="84">
        <f>+Enero!$O$53</f>
        <v>0</v>
      </c>
      <c r="P22" s="75">
        <f>+SUM(K22:O22)</f>
        <v>0</v>
      </c>
      <c r="Q22" s="76">
        <f>+J22+P22</f>
        <v>0.5</v>
      </c>
      <c r="R22" s="77">
        <f>+E22+Q22</f>
        <v>13.7</v>
      </c>
      <c r="S22" s="11"/>
    </row>
    <row r="23" spans="1:19" x14ac:dyDescent="0.25">
      <c r="A23" s="4" t="s">
        <v>131</v>
      </c>
      <c r="B23" s="84">
        <f>+Febrero!$B$53</f>
        <v>0</v>
      </c>
      <c r="C23" s="84">
        <f>+Febrero!$C$53</f>
        <v>0</v>
      </c>
      <c r="D23" s="84">
        <f>+Febrero!$D$53</f>
        <v>20</v>
      </c>
      <c r="E23" s="74">
        <f t="shared" ref="E23:E33" si="0">+SUM(B23:D23)</f>
        <v>20</v>
      </c>
      <c r="F23" s="84">
        <f>+Febrero!$F$53</f>
        <v>0.45</v>
      </c>
      <c r="G23" s="84">
        <f>+Febrero!$G$53</f>
        <v>0</v>
      </c>
      <c r="H23" s="84">
        <f>+Febrero!$H$53</f>
        <v>0.4</v>
      </c>
      <c r="I23" s="84">
        <f>+Febrero!$I$53</f>
        <v>0</v>
      </c>
      <c r="J23" s="74">
        <f t="shared" ref="J23:J33" si="1">+SUM(F23:I23)</f>
        <v>0.85000000000000009</v>
      </c>
      <c r="K23" s="84">
        <f>+Febrero!$K$53</f>
        <v>0</v>
      </c>
      <c r="L23" s="84">
        <f>+Febrero!$L$53</f>
        <v>0</v>
      </c>
      <c r="M23" s="84">
        <f>+Febrero!$M$53</f>
        <v>0</v>
      </c>
      <c r="N23" s="84">
        <f>+Febrero!$N$53</f>
        <v>0</v>
      </c>
      <c r="O23" s="84">
        <f>+Febrero!$O$53</f>
        <v>0</v>
      </c>
      <c r="P23" s="75">
        <f t="shared" ref="P23:P33" si="2">+SUM(K23:O23)</f>
        <v>0</v>
      </c>
      <c r="Q23" s="76">
        <f t="shared" ref="Q23:Q33" si="3">+J23+P23</f>
        <v>0.85000000000000009</v>
      </c>
      <c r="R23" s="77">
        <f t="shared" ref="R23:R33" si="4">+E23+Q23</f>
        <v>20.85</v>
      </c>
      <c r="S23" s="11"/>
    </row>
    <row r="24" spans="1:19" x14ac:dyDescent="0.25">
      <c r="A24" s="4" t="s">
        <v>132</v>
      </c>
      <c r="B24" s="84">
        <f>+Febrero!$B$53</f>
        <v>0</v>
      </c>
      <c r="C24" s="84">
        <f>+Marzo!$C$53</f>
        <v>0</v>
      </c>
      <c r="D24" s="84">
        <f>+Marzo!$D$53</f>
        <v>21.2</v>
      </c>
      <c r="E24" s="74">
        <f t="shared" si="0"/>
        <v>21.2</v>
      </c>
      <c r="F24" s="84">
        <f>+Marzo!$F$53</f>
        <v>0</v>
      </c>
      <c r="G24" s="84">
        <f>+Marzo!$G$53</f>
        <v>0</v>
      </c>
      <c r="H24" s="84">
        <f>+Marzo!$H$53</f>
        <v>0.7</v>
      </c>
      <c r="I24" s="84">
        <f>+Marzo!$I$53</f>
        <v>0</v>
      </c>
      <c r="J24" s="74">
        <f t="shared" si="1"/>
        <v>0.7</v>
      </c>
      <c r="K24" s="84">
        <f>+Marzo!$K$53</f>
        <v>0</v>
      </c>
      <c r="L24" s="84">
        <f>+Marzo!$L$53</f>
        <v>0</v>
      </c>
      <c r="M24" s="84">
        <f>+Marzo!$M$53</f>
        <v>0</v>
      </c>
      <c r="N24" s="84">
        <f>+Marzo!$N$53</f>
        <v>0</v>
      </c>
      <c r="O24" s="84">
        <f>+Marzo!$O$53</f>
        <v>0</v>
      </c>
      <c r="P24" s="75">
        <f t="shared" si="2"/>
        <v>0</v>
      </c>
      <c r="Q24" s="76">
        <f t="shared" si="3"/>
        <v>0.7</v>
      </c>
      <c r="R24" s="77">
        <f t="shared" si="4"/>
        <v>21.9</v>
      </c>
      <c r="S24" s="11"/>
    </row>
    <row r="25" spans="1:19" x14ac:dyDescent="0.25">
      <c r="A25" s="4" t="s">
        <v>133</v>
      </c>
      <c r="B25" s="84">
        <f>+Abril!$B$53</f>
        <v>0</v>
      </c>
      <c r="C25" s="84">
        <f>+Abril!$C$53</f>
        <v>0</v>
      </c>
      <c r="D25" s="84">
        <f>+Abril!$D$53</f>
        <v>17.3</v>
      </c>
      <c r="E25" s="74">
        <f t="shared" si="0"/>
        <v>17.3</v>
      </c>
      <c r="F25" s="84">
        <f>+Abril!$F$53</f>
        <v>0</v>
      </c>
      <c r="G25" s="84">
        <f>+Abril!$G$53</f>
        <v>0</v>
      </c>
      <c r="H25" s="84">
        <f>+Abril!$H$53</f>
        <v>0.6</v>
      </c>
      <c r="I25" s="84">
        <f>+Abril!$I$53</f>
        <v>17</v>
      </c>
      <c r="J25" s="74">
        <f t="shared" si="1"/>
        <v>17.600000000000001</v>
      </c>
      <c r="K25" s="84">
        <f>+Abril!$K$53</f>
        <v>0</v>
      </c>
      <c r="L25" s="84">
        <f>+Abril!$L$53</f>
        <v>0</v>
      </c>
      <c r="M25" s="84">
        <f>+Abril!$M$53</f>
        <v>0</v>
      </c>
      <c r="N25" s="84">
        <f>+Abril!$N$53</f>
        <v>0</v>
      </c>
      <c r="O25" s="84">
        <f>+Abril!$O$53</f>
        <v>0</v>
      </c>
      <c r="P25" s="75">
        <f t="shared" si="2"/>
        <v>0</v>
      </c>
      <c r="Q25" s="76">
        <f t="shared" si="3"/>
        <v>17.600000000000001</v>
      </c>
      <c r="R25" s="77">
        <f t="shared" si="4"/>
        <v>34.900000000000006</v>
      </c>
      <c r="S25" s="11"/>
    </row>
    <row r="26" spans="1:19" x14ac:dyDescent="0.25">
      <c r="A26" s="4" t="s">
        <v>134</v>
      </c>
      <c r="B26" s="84">
        <f>+Mayo!$B$53</f>
        <v>0</v>
      </c>
      <c r="C26" s="84">
        <f>+Mayo!$C$53</f>
        <v>0</v>
      </c>
      <c r="D26" s="84">
        <f>+Mayo!$D$53</f>
        <v>16.5</v>
      </c>
      <c r="E26" s="74">
        <f t="shared" si="0"/>
        <v>16.5</v>
      </c>
      <c r="F26" s="84">
        <f>+Mayo!$F$53</f>
        <v>0</v>
      </c>
      <c r="G26" s="84">
        <f>+Mayo!$G$53</f>
        <v>0</v>
      </c>
      <c r="H26" s="84">
        <f>+Mayo!$H$53</f>
        <v>1</v>
      </c>
      <c r="I26" s="84">
        <f>+Mayo!$I$53</f>
        <v>0</v>
      </c>
      <c r="J26" s="74">
        <f t="shared" si="1"/>
        <v>1</v>
      </c>
      <c r="K26" s="84">
        <f>+Mayo!$K$53</f>
        <v>0</v>
      </c>
      <c r="L26" s="84">
        <f>+Mayo!$L$53</f>
        <v>0</v>
      </c>
      <c r="M26" s="84">
        <f>+Mayo!$M$53</f>
        <v>0</v>
      </c>
      <c r="N26" s="84">
        <f>+Mayo!$N$53</f>
        <v>0</v>
      </c>
      <c r="O26" s="84">
        <f>+Mayo!$O$53</f>
        <v>0</v>
      </c>
      <c r="P26" s="75">
        <f t="shared" si="2"/>
        <v>0</v>
      </c>
      <c r="Q26" s="76">
        <f t="shared" si="3"/>
        <v>1</v>
      </c>
      <c r="R26" s="77">
        <f t="shared" si="4"/>
        <v>17.5</v>
      </c>
      <c r="S26" s="11"/>
    </row>
    <row r="27" spans="1:19" x14ac:dyDescent="0.25">
      <c r="A27" s="4" t="s">
        <v>135</v>
      </c>
      <c r="B27" s="84">
        <f>+Junio!$B$53</f>
        <v>0</v>
      </c>
      <c r="C27" s="84">
        <f>+Junio!$C$53</f>
        <v>0</v>
      </c>
      <c r="D27" s="84">
        <f>+Junio!$D$53</f>
        <v>20.3</v>
      </c>
      <c r="E27" s="74">
        <f t="shared" si="0"/>
        <v>20.3</v>
      </c>
      <c r="F27" s="84">
        <f>+Junio!$F$53</f>
        <v>0</v>
      </c>
      <c r="G27" s="84">
        <f>+Junio!$G$53</f>
        <v>0</v>
      </c>
      <c r="H27" s="84">
        <f>+Junio!$H$53</f>
        <v>0.5</v>
      </c>
      <c r="I27" s="84">
        <f>+Junio!$I$53</f>
        <v>0</v>
      </c>
      <c r="J27" s="74">
        <f t="shared" si="1"/>
        <v>0.5</v>
      </c>
      <c r="K27" s="84">
        <f>+Junio!$K$53</f>
        <v>0</v>
      </c>
      <c r="L27" s="84">
        <f>+Junio!$L$53</f>
        <v>0</v>
      </c>
      <c r="M27" s="84">
        <f>+Junio!$M$53</f>
        <v>0</v>
      </c>
      <c r="N27" s="84">
        <f>+Junio!$N$53</f>
        <v>0</v>
      </c>
      <c r="O27" s="84">
        <f>+Junio!$O$53</f>
        <v>0</v>
      </c>
      <c r="P27" s="75">
        <f t="shared" si="2"/>
        <v>0</v>
      </c>
      <c r="Q27" s="76">
        <f t="shared" si="3"/>
        <v>0.5</v>
      </c>
      <c r="R27" s="77">
        <f t="shared" si="4"/>
        <v>20.8</v>
      </c>
      <c r="S27" s="11"/>
    </row>
    <row r="28" spans="1:19" x14ac:dyDescent="0.25">
      <c r="A28" s="4" t="s">
        <v>136</v>
      </c>
      <c r="B28" s="84">
        <f>+Julio!$B$53</f>
        <v>0</v>
      </c>
      <c r="C28" s="84">
        <f>+Julio!$C$53</f>
        <v>0</v>
      </c>
      <c r="D28" s="84">
        <f>+Julio!$D$53</f>
        <v>19</v>
      </c>
      <c r="E28" s="74">
        <f t="shared" si="0"/>
        <v>19</v>
      </c>
      <c r="F28" s="84">
        <f>+Julio!$F$53</f>
        <v>0</v>
      </c>
      <c r="G28" s="84">
        <f>+Julio!$G$53</f>
        <v>0</v>
      </c>
      <c r="H28" s="84">
        <f>+Julio!$H$53</f>
        <v>0.5</v>
      </c>
      <c r="I28" s="84">
        <f>+Julio!$I$53</f>
        <v>0</v>
      </c>
      <c r="J28" s="74">
        <f t="shared" si="1"/>
        <v>0.5</v>
      </c>
      <c r="K28" s="84">
        <f>+Julio!$K$53</f>
        <v>0</v>
      </c>
      <c r="L28" s="84">
        <f>+Julio!$L$53</f>
        <v>0</v>
      </c>
      <c r="M28" s="84">
        <f>+Julio!$M$53</f>
        <v>0</v>
      </c>
      <c r="N28" s="84">
        <f>+Julio!$N$53</f>
        <v>0</v>
      </c>
      <c r="O28" s="84">
        <f>+Julio!$O$53</f>
        <v>0</v>
      </c>
      <c r="P28" s="75">
        <f t="shared" si="2"/>
        <v>0</v>
      </c>
      <c r="Q28" s="76">
        <f t="shared" si="3"/>
        <v>0.5</v>
      </c>
      <c r="R28" s="77">
        <f t="shared" si="4"/>
        <v>19.5</v>
      </c>
      <c r="S28" s="11"/>
    </row>
    <row r="29" spans="1:19" x14ac:dyDescent="0.25">
      <c r="A29" s="4" t="s">
        <v>137</v>
      </c>
      <c r="B29" s="84">
        <f>+Agosto!$B$53</f>
        <v>0</v>
      </c>
      <c r="C29" s="84">
        <f>+Agosto!$C$53</f>
        <v>0</v>
      </c>
      <c r="D29" s="84">
        <f>+Agosto!$D$53</f>
        <v>16.5</v>
      </c>
      <c r="E29" s="74">
        <f t="shared" si="0"/>
        <v>16.5</v>
      </c>
      <c r="F29" s="84">
        <f>+Agosto!$F$53</f>
        <v>0</v>
      </c>
      <c r="G29" s="84">
        <f>+Agosto!$G$53</f>
        <v>0</v>
      </c>
      <c r="H29" s="84">
        <f>+Agosto!$H$53</f>
        <v>1</v>
      </c>
      <c r="I29" s="84">
        <f>+Agosto!$I$53</f>
        <v>0</v>
      </c>
      <c r="J29" s="74">
        <f t="shared" si="1"/>
        <v>1</v>
      </c>
      <c r="K29" s="84">
        <f>+Agosto!$K$53</f>
        <v>0</v>
      </c>
      <c r="L29" s="84">
        <f>+Agosto!$L$53</f>
        <v>0</v>
      </c>
      <c r="M29" s="84">
        <f>+Agosto!$M$53</f>
        <v>0</v>
      </c>
      <c r="N29" s="84">
        <f>+Agosto!$N$53</f>
        <v>0</v>
      </c>
      <c r="O29" s="84">
        <f>+Agosto!$O$53</f>
        <v>0</v>
      </c>
      <c r="P29" s="75">
        <f t="shared" si="2"/>
        <v>0</v>
      </c>
      <c r="Q29" s="76">
        <f t="shared" si="3"/>
        <v>1</v>
      </c>
      <c r="R29" s="77">
        <f t="shared" si="4"/>
        <v>17.5</v>
      </c>
      <c r="S29" s="11"/>
    </row>
    <row r="30" spans="1:19" x14ac:dyDescent="0.25">
      <c r="A30" s="4" t="s">
        <v>138</v>
      </c>
      <c r="B30" s="84">
        <f>+Septiembre!$B$53</f>
        <v>0</v>
      </c>
      <c r="C30" s="84">
        <f>+Septiembre!$C$53</f>
        <v>0</v>
      </c>
      <c r="D30" s="84">
        <f>+Septiembre!$D$53</f>
        <v>23</v>
      </c>
      <c r="E30" s="74">
        <f t="shared" si="0"/>
        <v>23</v>
      </c>
      <c r="F30" s="84">
        <f>+Septiembre!$F$53</f>
        <v>0</v>
      </c>
      <c r="G30" s="84">
        <f>+Septiembre!$G$53</f>
        <v>0</v>
      </c>
      <c r="H30" s="84">
        <f>+Septiembre!$H$53</f>
        <v>1</v>
      </c>
      <c r="I30" s="84">
        <f>+Septiembre!$I$53</f>
        <v>0</v>
      </c>
      <c r="J30" s="74">
        <f t="shared" si="1"/>
        <v>1</v>
      </c>
      <c r="K30" s="84">
        <f>+Septiembre!$K$53</f>
        <v>0</v>
      </c>
      <c r="L30" s="84">
        <f>+Septiembre!$L$53</f>
        <v>0</v>
      </c>
      <c r="M30" s="84">
        <f>+Septiembre!$M$53</f>
        <v>0</v>
      </c>
      <c r="N30" s="84">
        <f>+Septiembre!$N$53</f>
        <v>0</v>
      </c>
      <c r="O30" s="84">
        <f>+Septiembre!$O$53</f>
        <v>0</v>
      </c>
      <c r="P30" s="75">
        <f t="shared" si="2"/>
        <v>0</v>
      </c>
      <c r="Q30" s="76">
        <f t="shared" si="3"/>
        <v>1</v>
      </c>
      <c r="R30" s="77">
        <f t="shared" si="4"/>
        <v>24</v>
      </c>
      <c r="S30" s="11"/>
    </row>
    <row r="31" spans="1:19" x14ac:dyDescent="0.25">
      <c r="A31" s="4" t="s">
        <v>139</v>
      </c>
      <c r="B31" s="84">
        <f>+Octubre!$B$53</f>
        <v>0</v>
      </c>
      <c r="C31" s="84">
        <f>+Octubre!$C$53</f>
        <v>0</v>
      </c>
      <c r="D31" s="84">
        <f>+Octubre!$D$53</f>
        <v>24</v>
      </c>
      <c r="E31" s="74">
        <f t="shared" si="0"/>
        <v>24</v>
      </c>
      <c r="F31" s="84">
        <f>+Octubre!$F$53</f>
        <v>0</v>
      </c>
      <c r="G31" s="84">
        <f>+Octubre!$G$53</f>
        <v>0</v>
      </c>
      <c r="H31" s="84">
        <f>+Octubre!$H$53</f>
        <v>0.5</v>
      </c>
      <c r="I31" s="84">
        <f>+Octubre!$I$53</f>
        <v>0</v>
      </c>
      <c r="J31" s="74">
        <f t="shared" si="1"/>
        <v>0.5</v>
      </c>
      <c r="K31" s="84">
        <f>+Octubre!$K$53</f>
        <v>0</v>
      </c>
      <c r="L31" s="84">
        <f>+Octubre!$L$53</f>
        <v>0</v>
      </c>
      <c r="M31" s="84">
        <f>+Octubre!$M$53</f>
        <v>0</v>
      </c>
      <c r="N31" s="84">
        <f>+Octubre!$N$53</f>
        <v>0</v>
      </c>
      <c r="O31" s="84">
        <f>+Octubre!$O$53</f>
        <v>0</v>
      </c>
      <c r="P31" s="75">
        <f t="shared" si="2"/>
        <v>0</v>
      </c>
      <c r="Q31" s="76">
        <f t="shared" si="3"/>
        <v>0.5</v>
      </c>
      <c r="R31" s="77">
        <f t="shared" si="4"/>
        <v>24.5</v>
      </c>
      <c r="S31" s="11"/>
    </row>
    <row r="32" spans="1:19" x14ac:dyDescent="0.25">
      <c r="A32" s="4" t="s">
        <v>140</v>
      </c>
      <c r="B32" s="84">
        <f>+Noviembre!$B$53</f>
        <v>0</v>
      </c>
      <c r="C32" s="84">
        <f>+Noviembre!$C$53</f>
        <v>0</v>
      </c>
      <c r="D32" s="84">
        <f>+Noviembre!$D$53</f>
        <v>26.7</v>
      </c>
      <c r="E32" s="74">
        <f t="shared" si="0"/>
        <v>26.7</v>
      </c>
      <c r="F32" s="84">
        <f>+Noviembre!$F$53</f>
        <v>0</v>
      </c>
      <c r="G32" s="84">
        <f>+Noviembre!$G$53</f>
        <v>0</v>
      </c>
      <c r="H32" s="84">
        <f>+Noviembre!$H$53</f>
        <v>1.7</v>
      </c>
      <c r="I32" s="84">
        <f>+Noviembre!$I$53</f>
        <v>0</v>
      </c>
      <c r="J32" s="74">
        <f t="shared" si="1"/>
        <v>1.7</v>
      </c>
      <c r="K32" s="84">
        <f>+Noviembre!$K$53</f>
        <v>0</v>
      </c>
      <c r="L32" s="84">
        <f>+Noviembre!$L$53</f>
        <v>0</v>
      </c>
      <c r="M32" s="84">
        <f>+Noviembre!$M$53</f>
        <v>0</v>
      </c>
      <c r="N32" s="84">
        <f>+Noviembre!$N$53</f>
        <v>0</v>
      </c>
      <c r="O32" s="84">
        <f>+Noviembre!$O$53</f>
        <v>0</v>
      </c>
      <c r="P32" s="75">
        <f t="shared" si="2"/>
        <v>0</v>
      </c>
      <c r="Q32" s="76">
        <f t="shared" si="3"/>
        <v>1.7</v>
      </c>
      <c r="R32" s="77">
        <f t="shared" si="4"/>
        <v>28.4</v>
      </c>
      <c r="S32" s="11"/>
    </row>
    <row r="33" spans="1:19" ht="15.75" thickBot="1" x14ac:dyDescent="0.3">
      <c r="A33" s="4" t="s">
        <v>141</v>
      </c>
      <c r="B33" s="84">
        <f>+Diciembre!$B$53</f>
        <v>0</v>
      </c>
      <c r="C33" s="84">
        <f>+Diciembre!$C$53</f>
        <v>0</v>
      </c>
      <c r="D33" s="84">
        <f>+Diciembre!$D$53</f>
        <v>10</v>
      </c>
      <c r="E33" s="74">
        <f t="shared" si="0"/>
        <v>10</v>
      </c>
      <c r="F33" s="84">
        <f>+Diciembre!$F$53</f>
        <v>0</v>
      </c>
      <c r="G33" s="84">
        <f>+Diciembre!$G$53</f>
        <v>0</v>
      </c>
      <c r="H33" s="84">
        <f>+Diciembre!$H$53</f>
        <v>0</v>
      </c>
      <c r="I33" s="84">
        <f>+Diciembre!$I$53</f>
        <v>0</v>
      </c>
      <c r="J33" s="74">
        <f t="shared" si="1"/>
        <v>0</v>
      </c>
      <c r="K33" s="84">
        <f>+Diciembre!$K$53</f>
        <v>0</v>
      </c>
      <c r="L33" s="84">
        <f>+Diciembre!$L$53</f>
        <v>0</v>
      </c>
      <c r="M33" s="84">
        <f>+Diciembre!$M$53</f>
        <v>0</v>
      </c>
      <c r="N33" s="84">
        <f>+Diciembre!$N$53</f>
        <v>0</v>
      </c>
      <c r="O33" s="84">
        <f>+Diciembre!$O$53</f>
        <v>0</v>
      </c>
      <c r="P33" s="75">
        <f t="shared" si="2"/>
        <v>0</v>
      </c>
      <c r="Q33" s="76">
        <f t="shared" si="3"/>
        <v>0</v>
      </c>
      <c r="R33" s="77">
        <f t="shared" si="4"/>
        <v>10</v>
      </c>
      <c r="S33" s="11"/>
    </row>
    <row r="34" spans="1:19" ht="15.75" thickBot="1" x14ac:dyDescent="0.3">
      <c r="A34" s="25" t="s">
        <v>95</v>
      </c>
      <c r="B34" s="207">
        <f t="shared" ref="B34:R34" si="5">+SUM(B22:B33)</f>
        <v>0</v>
      </c>
      <c r="C34" s="208">
        <f t="shared" si="5"/>
        <v>0</v>
      </c>
      <c r="D34" s="208">
        <f t="shared" si="5"/>
        <v>227.7</v>
      </c>
      <c r="E34" s="209">
        <f t="shared" si="5"/>
        <v>227.7</v>
      </c>
      <c r="F34" s="207">
        <f t="shared" si="5"/>
        <v>0.95</v>
      </c>
      <c r="G34" s="208">
        <f t="shared" si="5"/>
        <v>0</v>
      </c>
      <c r="H34" s="208">
        <f t="shared" si="5"/>
        <v>7.9</v>
      </c>
      <c r="I34" s="208">
        <f t="shared" si="5"/>
        <v>17</v>
      </c>
      <c r="J34" s="209">
        <f t="shared" si="5"/>
        <v>25.85</v>
      </c>
      <c r="K34" s="207">
        <f t="shared" si="5"/>
        <v>0</v>
      </c>
      <c r="L34" s="208">
        <f t="shared" si="5"/>
        <v>0</v>
      </c>
      <c r="M34" s="208">
        <f t="shared" si="5"/>
        <v>0</v>
      </c>
      <c r="N34" s="208">
        <f t="shared" si="5"/>
        <v>0</v>
      </c>
      <c r="O34" s="210">
        <f t="shared" si="5"/>
        <v>0</v>
      </c>
      <c r="P34" s="211">
        <f t="shared" si="5"/>
        <v>0</v>
      </c>
      <c r="Q34" s="210">
        <f t="shared" si="5"/>
        <v>25.85</v>
      </c>
      <c r="R34" s="212">
        <f t="shared" si="5"/>
        <v>253.55</v>
      </c>
      <c r="S34" s="26">
        <f>+E34+Q34</f>
        <v>253.54999999999998</v>
      </c>
    </row>
    <row r="35" spans="1:19" x14ac:dyDescent="0.25">
      <c r="A35" s="12"/>
      <c r="B35" s="10"/>
      <c r="C35" s="10"/>
      <c r="D35" s="27"/>
      <c r="E35" s="10"/>
      <c r="F35" s="27"/>
      <c r="G35" s="10"/>
      <c r="H35" s="10"/>
      <c r="I35" s="27"/>
      <c r="J35" s="10"/>
      <c r="K35" s="27"/>
      <c r="L35" s="10"/>
      <c r="M35" s="10"/>
      <c r="N35" s="10"/>
      <c r="O35" s="10"/>
      <c r="P35" s="10"/>
      <c r="Q35" s="10"/>
      <c r="R35" s="10"/>
      <c r="S35" s="11"/>
    </row>
    <row r="36" spans="1:19" x14ac:dyDescent="0.25">
      <c r="A36" s="12"/>
      <c r="B36" s="10"/>
      <c r="C36" s="10"/>
      <c r="D36" s="10"/>
      <c r="E36" s="10"/>
      <c r="F36" s="10"/>
      <c r="G36" s="10"/>
      <c r="H36" s="10"/>
      <c r="I36" s="27"/>
      <c r="J36" s="10"/>
      <c r="K36" s="10"/>
      <c r="L36" s="10"/>
      <c r="M36" s="10"/>
      <c r="N36" s="10"/>
      <c r="O36" s="10"/>
      <c r="P36" s="27"/>
      <c r="Q36" s="27"/>
      <c r="R36" s="10"/>
      <c r="S36" s="11"/>
    </row>
    <row r="37" spans="1:19" x14ac:dyDescent="0.25">
      <c r="A37" s="352" t="s">
        <v>111</v>
      </c>
      <c r="B37" s="353"/>
      <c r="C37" s="353"/>
      <c r="D37" s="353"/>
      <c r="E37" s="353"/>
      <c r="F37" s="353"/>
      <c r="G37" s="353"/>
      <c r="H37" s="353"/>
      <c r="I37" s="353"/>
      <c r="J37" s="353"/>
      <c r="K37" s="353"/>
      <c r="L37" s="353"/>
      <c r="M37" s="353"/>
      <c r="N37" s="353"/>
      <c r="O37" s="353"/>
      <c r="P37" s="28"/>
      <c r="R37" s="10"/>
      <c r="S37" s="11"/>
    </row>
    <row r="38" spans="1:19" x14ac:dyDescent="0.25">
      <c r="A38" s="352"/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R38" s="10"/>
      <c r="S38" s="11"/>
    </row>
    <row r="39" spans="1:19" ht="15.75" thickBot="1" x14ac:dyDescent="0.3">
      <c r="A39" s="352"/>
      <c r="B39" s="353"/>
      <c r="C39" s="353"/>
      <c r="D39" s="353"/>
      <c r="E39" s="353"/>
      <c r="F39" s="353"/>
      <c r="G39" s="353"/>
      <c r="H39" s="353"/>
      <c r="I39" s="353"/>
      <c r="J39" s="353"/>
      <c r="K39" s="353"/>
      <c r="L39" s="353"/>
      <c r="M39" s="353"/>
      <c r="N39" s="353"/>
      <c r="O39" s="353"/>
      <c r="R39" s="10"/>
      <c r="S39" s="11"/>
    </row>
    <row r="40" spans="1:19" ht="15.75" thickBot="1" x14ac:dyDescent="0.3">
      <c r="A40" s="12"/>
      <c r="B40" s="14">
        <v>27</v>
      </c>
      <c r="C40" s="15">
        <v>28</v>
      </c>
      <c r="D40" s="15">
        <v>29</v>
      </c>
      <c r="E40" s="17">
        <v>30</v>
      </c>
      <c r="F40" s="16">
        <v>31</v>
      </c>
      <c r="G40" s="29">
        <v>32</v>
      </c>
      <c r="H40" s="10"/>
      <c r="I40" s="10"/>
      <c r="J40" s="422">
        <v>33</v>
      </c>
      <c r="K40" s="423"/>
      <c r="L40" s="423"/>
      <c r="M40" s="423"/>
      <c r="N40" s="423"/>
      <c r="O40" s="424"/>
      <c r="R40" s="10"/>
      <c r="S40" s="11"/>
    </row>
    <row r="41" spans="1:19" ht="15.75" thickBot="1" x14ac:dyDescent="0.3">
      <c r="A41" s="362" t="s">
        <v>112</v>
      </c>
      <c r="B41" s="425" t="s">
        <v>113</v>
      </c>
      <c r="C41" s="426"/>
      <c r="D41" s="426"/>
      <c r="E41" s="426"/>
      <c r="F41" s="426"/>
      <c r="G41" s="411" t="s">
        <v>95</v>
      </c>
      <c r="H41" s="30"/>
      <c r="I41" s="427" t="s">
        <v>112</v>
      </c>
      <c r="J41" s="31"/>
      <c r="K41" s="429" t="s">
        <v>114</v>
      </c>
      <c r="L41" s="430"/>
      <c r="M41" s="430"/>
      <c r="N41" s="431"/>
      <c r="O41" s="432" t="s">
        <v>115</v>
      </c>
      <c r="R41" s="30"/>
      <c r="S41" s="11"/>
    </row>
    <row r="42" spans="1:19" ht="60.75" thickBot="1" x14ac:dyDescent="0.3">
      <c r="A42" s="363"/>
      <c r="B42" s="32" t="s">
        <v>116</v>
      </c>
      <c r="C42" s="33" t="s">
        <v>117</v>
      </c>
      <c r="D42" s="34" t="s">
        <v>118</v>
      </c>
      <c r="E42" s="35" t="s">
        <v>119</v>
      </c>
      <c r="F42" s="35" t="s">
        <v>120</v>
      </c>
      <c r="G42" s="412"/>
      <c r="H42" s="30"/>
      <c r="I42" s="428"/>
      <c r="J42" s="224" t="s">
        <v>121</v>
      </c>
      <c r="K42" s="48" t="s">
        <v>122</v>
      </c>
      <c r="L42" s="34" t="s">
        <v>123</v>
      </c>
      <c r="M42" s="34" t="s">
        <v>124</v>
      </c>
      <c r="N42" s="35" t="s">
        <v>125</v>
      </c>
      <c r="O42" s="433"/>
      <c r="R42" s="30"/>
      <c r="S42" s="11"/>
    </row>
    <row r="43" spans="1:19" x14ac:dyDescent="0.25">
      <c r="A43" s="45" t="s">
        <v>126</v>
      </c>
      <c r="B43" s="78">
        <f>+Enero!B62</f>
        <v>0</v>
      </c>
      <c r="C43" s="79">
        <f>+Enero!C62</f>
        <v>0</v>
      </c>
      <c r="D43" s="79">
        <f>+Enero!D62</f>
        <v>0</v>
      </c>
      <c r="E43" s="80">
        <f>+Enero!E62</f>
        <v>0</v>
      </c>
      <c r="F43" s="81">
        <f>+Enero!F62</f>
        <v>13.7</v>
      </c>
      <c r="G43" s="216">
        <f>SUM(B43:F43)</f>
        <v>13.7</v>
      </c>
      <c r="H43" s="30"/>
      <c r="I43" s="219" t="s">
        <v>126</v>
      </c>
      <c r="J43" s="49">
        <f>+Enero!J62</f>
        <v>0</v>
      </c>
      <c r="K43" s="50">
        <f>+Enero!K62</f>
        <v>0</v>
      </c>
      <c r="L43" s="50">
        <f>+Enero!L62</f>
        <v>0</v>
      </c>
      <c r="M43" s="50">
        <f>+Enero!M62</f>
        <v>0</v>
      </c>
      <c r="N43" s="51">
        <f>+Enero!N62</f>
        <v>100</v>
      </c>
      <c r="O43" s="221">
        <f t="shared" ref="O43:O53" si="6">SUM(J43:N43)/100</f>
        <v>1</v>
      </c>
      <c r="R43" s="30"/>
      <c r="S43" s="11"/>
    </row>
    <row r="44" spans="1:19" x14ac:dyDescent="0.25">
      <c r="A44" s="24" t="s">
        <v>131</v>
      </c>
      <c r="B44" s="82">
        <f>+Febrero!B63</f>
        <v>0</v>
      </c>
      <c r="C44" s="83">
        <f>+Febrero!C63</f>
        <v>0</v>
      </c>
      <c r="D44" s="83">
        <f>+Febrero!D63</f>
        <v>0</v>
      </c>
      <c r="E44" s="83">
        <f>+Febrero!E63</f>
        <v>0</v>
      </c>
      <c r="F44" s="214">
        <f>+Febrero!F63</f>
        <v>20.85</v>
      </c>
      <c r="G44" s="217">
        <f>+SUM(B44:F44)</f>
        <v>20.85</v>
      </c>
      <c r="H44" s="10"/>
      <c r="I44" s="220" t="s">
        <v>131</v>
      </c>
      <c r="J44" s="52">
        <f>+Febrero!J63</f>
        <v>0</v>
      </c>
      <c r="K44" s="47">
        <f>+Febrero!K63</f>
        <v>0</v>
      </c>
      <c r="L44" s="47">
        <f>+Febrero!L63</f>
        <v>0</v>
      </c>
      <c r="M44" s="47">
        <f>+Febrero!M63</f>
        <v>0</v>
      </c>
      <c r="N44" s="53">
        <f>+Febrero!N63</f>
        <v>100</v>
      </c>
      <c r="O44" s="222">
        <f t="shared" si="6"/>
        <v>1</v>
      </c>
      <c r="P44" s="10"/>
      <c r="Q44" s="10"/>
      <c r="R44" s="10"/>
      <c r="S44" s="11"/>
    </row>
    <row r="45" spans="1:19" x14ac:dyDescent="0.25">
      <c r="A45" s="24" t="s">
        <v>132</v>
      </c>
      <c r="B45" s="82">
        <f>+Marzo!B64</f>
        <v>0</v>
      </c>
      <c r="C45" s="83">
        <f>+Marzo!C64</f>
        <v>0</v>
      </c>
      <c r="D45" s="83">
        <f>+Marzo!D64</f>
        <v>0</v>
      </c>
      <c r="E45" s="83">
        <f>+Marzo!E64</f>
        <v>0</v>
      </c>
      <c r="F45" s="214">
        <f>+Marzo!F64</f>
        <v>21.9</v>
      </c>
      <c r="G45" s="217">
        <f t="shared" ref="G45:G53" si="7">+SUM(B45:F45)</f>
        <v>21.9</v>
      </c>
      <c r="H45" s="10"/>
      <c r="I45" s="220" t="s">
        <v>132</v>
      </c>
      <c r="J45" s="52">
        <f>+Marzo!J64</f>
        <v>0</v>
      </c>
      <c r="K45" s="47">
        <f>+Marzo!K64</f>
        <v>0</v>
      </c>
      <c r="L45" s="47">
        <f>+Marzo!L64</f>
        <v>0</v>
      </c>
      <c r="M45" s="47">
        <f>+Marzo!M64</f>
        <v>0</v>
      </c>
      <c r="N45" s="53">
        <f>+Marzo!N64</f>
        <v>100</v>
      </c>
      <c r="O45" s="222">
        <f t="shared" si="6"/>
        <v>1</v>
      </c>
      <c r="P45" s="10"/>
      <c r="Q45" s="10"/>
      <c r="R45" s="10"/>
      <c r="S45" s="11"/>
    </row>
    <row r="46" spans="1:19" x14ac:dyDescent="0.25">
      <c r="A46" s="24" t="s">
        <v>133</v>
      </c>
      <c r="B46" s="82">
        <f>+Abril!B65</f>
        <v>0</v>
      </c>
      <c r="C46" s="83">
        <f>+Abril!C65</f>
        <v>0</v>
      </c>
      <c r="D46" s="83">
        <f>+Abril!D65</f>
        <v>0</v>
      </c>
      <c r="E46" s="83">
        <f>+Abril!E65</f>
        <v>0</v>
      </c>
      <c r="F46" s="214">
        <f>+Abril!F65</f>
        <v>34.9</v>
      </c>
      <c r="G46" s="217">
        <f t="shared" si="7"/>
        <v>34.9</v>
      </c>
      <c r="H46" s="10"/>
      <c r="I46" s="220" t="s">
        <v>133</v>
      </c>
      <c r="J46" s="52">
        <f>+Abril!J65</f>
        <v>0</v>
      </c>
      <c r="K46" s="47">
        <f>+Abril!K65</f>
        <v>0</v>
      </c>
      <c r="L46" s="47">
        <f>+Abril!L65</f>
        <v>0</v>
      </c>
      <c r="M46" s="47">
        <f>+Abril!M65</f>
        <v>0</v>
      </c>
      <c r="N46" s="53">
        <f>+Abril!N65</f>
        <v>99.999999999999972</v>
      </c>
      <c r="O46" s="222">
        <f t="shared" si="6"/>
        <v>0.99999999999999967</v>
      </c>
      <c r="P46" s="10"/>
      <c r="Q46" s="10"/>
      <c r="R46" s="10"/>
      <c r="S46" s="11"/>
    </row>
    <row r="47" spans="1:19" x14ac:dyDescent="0.25">
      <c r="A47" s="24" t="s">
        <v>134</v>
      </c>
      <c r="B47" s="82">
        <f>+Mayo!B66</f>
        <v>0</v>
      </c>
      <c r="C47" s="83">
        <f>+Mayo!C66</f>
        <v>0</v>
      </c>
      <c r="D47" s="83">
        <f>+Mayo!D66</f>
        <v>0</v>
      </c>
      <c r="E47" s="83">
        <f>+Mayo!E66</f>
        <v>0</v>
      </c>
      <c r="F47" s="214">
        <f>+Mayo!F66</f>
        <v>17.5</v>
      </c>
      <c r="G47" s="217">
        <f t="shared" si="7"/>
        <v>17.5</v>
      </c>
      <c r="H47" s="10"/>
      <c r="I47" s="220" t="s">
        <v>134</v>
      </c>
      <c r="J47" s="52">
        <f>+Mayo!J66</f>
        <v>0</v>
      </c>
      <c r="K47" s="47">
        <f>+Mayo!K66</f>
        <v>0</v>
      </c>
      <c r="L47" s="47">
        <f>+Mayo!L66</f>
        <v>0</v>
      </c>
      <c r="M47" s="47">
        <f>+Mayo!M66</f>
        <v>0</v>
      </c>
      <c r="N47" s="53">
        <f>+Mayo!N66</f>
        <v>100</v>
      </c>
      <c r="O47" s="222">
        <f t="shared" si="6"/>
        <v>1</v>
      </c>
      <c r="P47" s="10"/>
      <c r="Q47" s="10"/>
      <c r="R47" s="10"/>
      <c r="S47" s="11"/>
    </row>
    <row r="48" spans="1:19" x14ac:dyDescent="0.25">
      <c r="A48" s="24" t="s">
        <v>135</v>
      </c>
      <c r="B48" s="82">
        <f>+Junio!B67</f>
        <v>0</v>
      </c>
      <c r="C48" s="83">
        <f>+Junio!C67</f>
        <v>0</v>
      </c>
      <c r="D48" s="83">
        <f>+Junio!D67</f>
        <v>0</v>
      </c>
      <c r="E48" s="83">
        <f>+Junio!E67</f>
        <v>0</v>
      </c>
      <c r="F48" s="214">
        <f>+Junio!F67</f>
        <v>20.8</v>
      </c>
      <c r="G48" s="217">
        <f t="shared" si="7"/>
        <v>20.8</v>
      </c>
      <c r="H48" s="10"/>
      <c r="I48" s="220" t="s">
        <v>135</v>
      </c>
      <c r="J48" s="52">
        <f>+Junio!J67</f>
        <v>0</v>
      </c>
      <c r="K48" s="47">
        <f>+Junio!K67</f>
        <v>0</v>
      </c>
      <c r="L48" s="47">
        <f>+Junio!L67</f>
        <v>0</v>
      </c>
      <c r="M48" s="47">
        <f>+Junio!M67</f>
        <v>0</v>
      </c>
      <c r="N48" s="53">
        <f>+Junio!N67</f>
        <v>100</v>
      </c>
      <c r="O48" s="222">
        <f t="shared" si="6"/>
        <v>1</v>
      </c>
      <c r="P48" s="10"/>
      <c r="Q48" s="10"/>
      <c r="R48" s="10"/>
      <c r="S48" s="11"/>
    </row>
    <row r="49" spans="1:19" x14ac:dyDescent="0.25">
      <c r="A49" s="24" t="s">
        <v>136</v>
      </c>
      <c r="B49" s="82">
        <f>+Julio!B68</f>
        <v>0</v>
      </c>
      <c r="C49" s="83">
        <f>+Julio!C68</f>
        <v>0</v>
      </c>
      <c r="D49" s="83">
        <f>+Julio!D68</f>
        <v>0</v>
      </c>
      <c r="E49" s="83">
        <f>+Julio!E68</f>
        <v>0</v>
      </c>
      <c r="F49" s="214">
        <f>+Julio!F68</f>
        <v>19.5</v>
      </c>
      <c r="G49" s="217">
        <f t="shared" si="7"/>
        <v>19.5</v>
      </c>
      <c r="H49" s="10"/>
      <c r="I49" s="220" t="s">
        <v>136</v>
      </c>
      <c r="J49" s="52">
        <f>+Julio!J68</f>
        <v>0</v>
      </c>
      <c r="K49" s="47">
        <f>+Julio!K68</f>
        <v>0</v>
      </c>
      <c r="L49" s="47">
        <f>+Julio!L68</f>
        <v>0</v>
      </c>
      <c r="M49" s="47">
        <f>+Julio!M68</f>
        <v>0</v>
      </c>
      <c r="N49" s="53">
        <f>+Julio!N68</f>
        <v>100</v>
      </c>
      <c r="O49" s="222">
        <f t="shared" si="6"/>
        <v>1</v>
      </c>
      <c r="P49" s="10"/>
      <c r="Q49" s="10"/>
      <c r="R49" s="10"/>
      <c r="S49" s="11"/>
    </row>
    <row r="50" spans="1:19" x14ac:dyDescent="0.25">
      <c r="A50" s="24" t="s">
        <v>137</v>
      </c>
      <c r="B50" s="82">
        <f>+Agosto!B69</f>
        <v>0</v>
      </c>
      <c r="C50" s="83">
        <f>+Agosto!C69</f>
        <v>0</v>
      </c>
      <c r="D50" s="83">
        <f>+Agosto!D69</f>
        <v>0</v>
      </c>
      <c r="E50" s="83">
        <f>+Agosto!E69</f>
        <v>0</v>
      </c>
      <c r="F50" s="214">
        <f>+Agosto!F69</f>
        <v>17.5</v>
      </c>
      <c r="G50" s="217">
        <f t="shared" si="7"/>
        <v>17.5</v>
      </c>
      <c r="H50" s="10"/>
      <c r="I50" s="220" t="s">
        <v>137</v>
      </c>
      <c r="J50" s="52">
        <f>+Agosto!J69</f>
        <v>0</v>
      </c>
      <c r="K50" s="47">
        <f>+Agosto!K69</f>
        <v>0</v>
      </c>
      <c r="L50" s="47">
        <f>+Agosto!L69</f>
        <v>0</v>
      </c>
      <c r="M50" s="47">
        <f>+Agosto!M69</f>
        <v>0</v>
      </c>
      <c r="N50" s="53">
        <f>+Agosto!N69</f>
        <v>100</v>
      </c>
      <c r="O50" s="222">
        <f t="shared" si="6"/>
        <v>1</v>
      </c>
      <c r="P50" s="10"/>
      <c r="Q50" s="10"/>
      <c r="R50" s="10"/>
      <c r="S50" s="11"/>
    </row>
    <row r="51" spans="1:19" x14ac:dyDescent="0.25">
      <c r="A51" s="24" t="s">
        <v>138</v>
      </c>
      <c r="B51" s="82">
        <f>+Septiembre!B70</f>
        <v>0</v>
      </c>
      <c r="C51" s="83">
        <f>+Septiembre!C70</f>
        <v>0</v>
      </c>
      <c r="D51" s="83">
        <f>+Septiembre!D70</f>
        <v>0</v>
      </c>
      <c r="E51" s="83">
        <f>+Septiembre!E70</f>
        <v>0</v>
      </c>
      <c r="F51" s="214">
        <f>+Septiembre!F70</f>
        <v>24</v>
      </c>
      <c r="G51" s="217">
        <f t="shared" si="7"/>
        <v>24</v>
      </c>
      <c r="H51" s="10"/>
      <c r="I51" s="220" t="s">
        <v>138</v>
      </c>
      <c r="J51" s="52">
        <f>+Septiembre!J70</f>
        <v>0</v>
      </c>
      <c r="K51" s="47">
        <f>+Septiembre!K70</f>
        <v>0</v>
      </c>
      <c r="L51" s="47">
        <f>+Septiembre!L70</f>
        <v>0</v>
      </c>
      <c r="M51" s="47">
        <f>+Septiembre!M70</f>
        <v>0</v>
      </c>
      <c r="N51" s="53">
        <f>+Septiembre!N70</f>
        <v>100</v>
      </c>
      <c r="O51" s="222">
        <f t="shared" si="6"/>
        <v>1</v>
      </c>
      <c r="P51" s="10"/>
      <c r="Q51" s="10"/>
      <c r="R51" s="10"/>
      <c r="S51" s="11"/>
    </row>
    <row r="52" spans="1:19" x14ac:dyDescent="0.25">
      <c r="A52" s="24" t="s">
        <v>139</v>
      </c>
      <c r="B52" s="82">
        <f>+Octubre!B71</f>
        <v>0</v>
      </c>
      <c r="C52" s="83">
        <f>+Octubre!C71</f>
        <v>0</v>
      </c>
      <c r="D52" s="83">
        <f>+Octubre!D71</f>
        <v>0</v>
      </c>
      <c r="E52" s="83">
        <f>+Octubre!E71</f>
        <v>0</v>
      </c>
      <c r="F52" s="214">
        <f>+Octubre!F71</f>
        <v>24.5</v>
      </c>
      <c r="G52" s="217">
        <f t="shared" si="7"/>
        <v>24.5</v>
      </c>
      <c r="H52" s="10"/>
      <c r="I52" s="220" t="s">
        <v>139</v>
      </c>
      <c r="J52" s="52">
        <f>+Octubre!J71</f>
        <v>0</v>
      </c>
      <c r="K52" s="47">
        <f>+Octubre!K71</f>
        <v>0</v>
      </c>
      <c r="L52" s="47">
        <f>+Octubre!L71</f>
        <v>0</v>
      </c>
      <c r="M52" s="47">
        <f>+Octubre!M71</f>
        <v>0</v>
      </c>
      <c r="N52" s="53">
        <f>+Octubre!N71</f>
        <v>100</v>
      </c>
      <c r="O52" s="222">
        <f t="shared" si="6"/>
        <v>1</v>
      </c>
      <c r="P52" s="10"/>
      <c r="Q52" s="10"/>
      <c r="R52" s="10"/>
      <c r="S52" s="11"/>
    </row>
    <row r="53" spans="1:19" x14ac:dyDescent="0.25">
      <c r="A53" s="24" t="s">
        <v>140</v>
      </c>
      <c r="B53" s="82">
        <f>+Noviembre!B72</f>
        <v>0</v>
      </c>
      <c r="C53" s="83">
        <f>+Noviembre!C72</f>
        <v>0</v>
      </c>
      <c r="D53" s="83">
        <f>+Noviembre!D72</f>
        <v>0</v>
      </c>
      <c r="E53" s="83">
        <f>+Noviembre!E72</f>
        <v>0</v>
      </c>
      <c r="F53" s="214">
        <f>+Noviembre!F72</f>
        <v>28.4</v>
      </c>
      <c r="G53" s="217">
        <f t="shared" si="7"/>
        <v>28.4</v>
      </c>
      <c r="H53" s="10"/>
      <c r="I53" s="220" t="s">
        <v>140</v>
      </c>
      <c r="J53" s="52">
        <f>+Noviembre!J72</f>
        <v>0</v>
      </c>
      <c r="K53" s="47">
        <f>+Noviembre!K72</f>
        <v>0</v>
      </c>
      <c r="L53" s="47">
        <f>+Noviembre!L72</f>
        <v>0</v>
      </c>
      <c r="M53" s="47">
        <f>+Noviembre!M72</f>
        <v>0</v>
      </c>
      <c r="N53" s="53">
        <f>+Noviembre!N72</f>
        <v>100</v>
      </c>
      <c r="O53" s="222">
        <f t="shared" si="6"/>
        <v>1</v>
      </c>
      <c r="P53" s="10"/>
      <c r="Q53" s="10"/>
      <c r="R53" s="10"/>
      <c r="S53" s="11"/>
    </row>
    <row r="54" spans="1:19" ht="15.75" thickBot="1" x14ac:dyDescent="0.3">
      <c r="A54" s="36" t="s">
        <v>141</v>
      </c>
      <c r="B54" s="85">
        <f>+Diciembre!B73</f>
        <v>0</v>
      </c>
      <c r="C54" s="213">
        <f>+Diciembre!C73</f>
        <v>0</v>
      </c>
      <c r="D54" s="213">
        <f>+Diciembre!D73</f>
        <v>0</v>
      </c>
      <c r="E54" s="213">
        <f>+Diciembre!E73</f>
        <v>0</v>
      </c>
      <c r="F54" s="215">
        <f>+Diciembre!F73</f>
        <v>10</v>
      </c>
      <c r="G54" s="218">
        <f>+SUM(B54:F54)</f>
        <v>10</v>
      </c>
      <c r="H54" s="10"/>
      <c r="I54" s="46" t="s">
        <v>141</v>
      </c>
      <c r="J54" s="72">
        <f>+Diciembre!J73</f>
        <v>0</v>
      </c>
      <c r="K54" s="193">
        <f>Diciembre!K73</f>
        <v>0</v>
      </c>
      <c r="L54" s="193">
        <f>+Diciembre!L73</f>
        <v>0</v>
      </c>
      <c r="M54" s="193">
        <f>+Diciembre!M73</f>
        <v>0</v>
      </c>
      <c r="N54" s="223">
        <f>+Diciembre!N73</f>
        <v>100</v>
      </c>
      <c r="O54" s="202">
        <f>ROUND((SUM(J54:N54)/100),2)</f>
        <v>1</v>
      </c>
      <c r="P54" s="10"/>
      <c r="Q54" s="10"/>
      <c r="R54" s="10"/>
      <c r="S54" s="11"/>
    </row>
    <row r="55" spans="1:19" x14ac:dyDescent="0.25">
      <c r="A55" s="12"/>
      <c r="B55" s="2"/>
      <c r="C55" s="2"/>
      <c r="D55" s="2"/>
      <c r="E55" s="2"/>
      <c r="F55" s="2"/>
      <c r="G55" s="10"/>
      <c r="H55" s="10"/>
      <c r="J55" s="40"/>
      <c r="K55" s="10"/>
      <c r="L55" s="10"/>
      <c r="M55" s="10"/>
      <c r="N55" s="10"/>
      <c r="O55" s="90"/>
      <c r="P55" s="10"/>
      <c r="Q55" s="10"/>
      <c r="R55" s="10"/>
      <c r="S55" s="11"/>
    </row>
    <row r="56" spans="1:19" x14ac:dyDescent="0.25">
      <c r="A56" s="12"/>
      <c r="B56" s="10"/>
      <c r="C56" s="10"/>
      <c r="D56" s="10"/>
      <c r="E56" s="10"/>
      <c r="F56" s="10"/>
      <c r="G56" s="10"/>
      <c r="H56" s="10"/>
      <c r="I56" s="40" t="s">
        <v>127</v>
      </c>
      <c r="J56" s="40"/>
      <c r="K56" s="10"/>
      <c r="L56" s="10"/>
      <c r="M56" s="10"/>
      <c r="N56" s="10"/>
      <c r="O56" s="10"/>
      <c r="P56" s="10"/>
      <c r="Q56" s="10"/>
      <c r="R56" s="10"/>
      <c r="S56" s="11"/>
    </row>
    <row r="57" spans="1:19" x14ac:dyDescent="0.25">
      <c r="A57" s="12"/>
      <c r="B57" s="10"/>
      <c r="C57" s="10"/>
      <c r="D57" s="10"/>
      <c r="E57" s="10"/>
      <c r="F57" s="10"/>
      <c r="G57" s="10"/>
      <c r="H57" s="10"/>
      <c r="I57" s="40" t="s">
        <v>128</v>
      </c>
      <c r="J57" s="40"/>
      <c r="K57" s="10"/>
      <c r="L57" s="10"/>
      <c r="M57" s="10"/>
      <c r="N57" s="10"/>
      <c r="O57" s="10"/>
      <c r="P57" s="10"/>
      <c r="Q57" s="10"/>
      <c r="R57" s="10"/>
      <c r="S57" s="11"/>
    </row>
    <row r="58" spans="1:19" x14ac:dyDescent="0.25">
      <c r="A58" s="12"/>
      <c r="B58" s="10"/>
      <c r="C58" s="10"/>
      <c r="D58" s="10"/>
      <c r="E58" s="10"/>
      <c r="F58" s="10"/>
      <c r="G58" s="10"/>
      <c r="H58" s="10"/>
      <c r="I58" s="40" t="s">
        <v>129</v>
      </c>
      <c r="J58" s="40"/>
      <c r="K58" s="10"/>
      <c r="L58" s="10"/>
      <c r="M58" s="10"/>
      <c r="N58" s="10"/>
      <c r="O58" s="10"/>
      <c r="P58" s="10"/>
      <c r="Q58" s="10"/>
      <c r="R58" s="10"/>
      <c r="S58" s="11"/>
    </row>
    <row r="59" spans="1:19" ht="15.75" thickBot="1" x14ac:dyDescent="0.3">
      <c r="A59" s="41"/>
      <c r="B59" s="42"/>
      <c r="C59" s="42"/>
      <c r="D59" s="42"/>
      <c r="E59" s="42"/>
      <c r="F59" s="42"/>
      <c r="G59" s="42"/>
      <c r="H59" s="42"/>
      <c r="I59" s="43" t="s">
        <v>130</v>
      </c>
      <c r="J59" s="43"/>
      <c r="K59" s="42"/>
      <c r="L59" s="42"/>
      <c r="M59" s="42"/>
      <c r="N59" s="42"/>
      <c r="O59" s="42"/>
      <c r="P59" s="42"/>
      <c r="Q59" s="42"/>
      <c r="R59" s="42"/>
      <c r="S59" s="44"/>
    </row>
    <row r="60" spans="1:19" ht="15" customHeight="1" x14ac:dyDescent="0.25"/>
    <row r="61" spans="1:19" ht="15" customHeight="1" x14ac:dyDescent="0.25"/>
    <row r="62" spans="1:19" ht="15" customHeight="1" x14ac:dyDescent="0.25"/>
    <row r="63" spans="1:19" ht="15" customHeight="1" x14ac:dyDescent="0.25"/>
    <row r="64" spans="1:19" ht="15" customHeight="1" x14ac:dyDescent="0.25"/>
    <row r="65" spans="10:14" ht="15" customHeight="1" x14ac:dyDescent="0.25">
      <c r="N65" s="144"/>
    </row>
    <row r="66" spans="10:14" ht="15" customHeight="1" x14ac:dyDescent="0.25">
      <c r="J66" t="s">
        <v>154</v>
      </c>
    </row>
    <row r="67" spans="10:14" ht="15" customHeight="1" x14ac:dyDescent="0.25"/>
    <row r="68" spans="10:14" ht="15" customHeight="1" x14ac:dyDescent="0.25"/>
    <row r="69" spans="10:14" ht="15" customHeight="1" x14ac:dyDescent="0.25"/>
    <row r="70" spans="10:14" ht="15" customHeight="1" x14ac:dyDescent="0.25"/>
    <row r="71" spans="10:14" ht="15" customHeight="1" x14ac:dyDescent="0.25"/>
    <row r="72" spans="10:14" ht="15" customHeight="1" x14ac:dyDescent="0.25"/>
    <row r="73" spans="10:14" ht="15" customHeight="1" x14ac:dyDescent="0.25"/>
    <row r="74" spans="10:14" ht="15" customHeight="1" x14ac:dyDescent="0.25"/>
    <row r="75" spans="10:14" ht="15" customHeight="1" x14ac:dyDescent="0.25"/>
    <row r="76" spans="10:14" ht="15" customHeight="1" x14ac:dyDescent="0.25"/>
    <row r="77" spans="10:14" ht="15" customHeight="1" x14ac:dyDescent="0.25"/>
    <row r="78" spans="10:14" ht="15" customHeight="1" x14ac:dyDescent="0.25"/>
  </sheetData>
  <sheetProtection algorithmName="SHA-512" hashValue="mngyZPd0RbwAbXjaqX8Ixpcm0VpOzX4X9pw/PZRo6g8hjE/nCG8nQttnsddr8kIQKdZUhy0W3/4JK2XGM4hfIg==" saltValue="5HrmxKRrhwzKjXpd+Ujjjw==" spinCount="100000" sheet="1" selectLockedCells="1"/>
  <mergeCells count="45">
    <mergeCell ref="J40:O40"/>
    <mergeCell ref="A41:A42"/>
    <mergeCell ref="B41:F41"/>
    <mergeCell ref="G41:G42"/>
    <mergeCell ref="I41:I42"/>
    <mergeCell ref="K41:N41"/>
    <mergeCell ref="O41:O42"/>
    <mergeCell ref="A37:O39"/>
    <mergeCell ref="A11:C11"/>
    <mergeCell ref="D11:J11"/>
    <mergeCell ref="K11:M11"/>
    <mergeCell ref="N11:S11"/>
    <mergeCell ref="A16:R17"/>
    <mergeCell ref="A19:A21"/>
    <mergeCell ref="B19:D20"/>
    <mergeCell ref="E19:E21"/>
    <mergeCell ref="F19:P19"/>
    <mergeCell ref="Q19:Q21"/>
    <mergeCell ref="R19:R21"/>
    <mergeCell ref="F20:I20"/>
    <mergeCell ref="J20:J21"/>
    <mergeCell ref="K20:O20"/>
    <mergeCell ref="P20:P21"/>
    <mergeCell ref="A9:C9"/>
    <mergeCell ref="D9:J9"/>
    <mergeCell ref="K9:M9"/>
    <mergeCell ref="N9:S9"/>
    <mergeCell ref="A10:C10"/>
    <mergeCell ref="D10:J10"/>
    <mergeCell ref="K10:M10"/>
    <mergeCell ref="N10:S10"/>
    <mergeCell ref="A7:C7"/>
    <mergeCell ref="D7:J7"/>
    <mergeCell ref="K7:M7"/>
    <mergeCell ref="N7:S7"/>
    <mergeCell ref="A8:C8"/>
    <mergeCell ref="D8:J8"/>
    <mergeCell ref="K8:M8"/>
    <mergeCell ref="N8:S8"/>
    <mergeCell ref="A1:C6"/>
    <mergeCell ref="D1:P6"/>
    <mergeCell ref="Q1:S2"/>
    <mergeCell ref="Q3:S4"/>
    <mergeCell ref="Q5:S5"/>
    <mergeCell ref="Q6:S6"/>
  </mergeCells>
  <phoneticPr fontId="12" type="noConversion"/>
  <conditionalFormatting sqref="G54">
    <cfRule type="cellIs" dxfId="1" priority="15" operator="notEqual">
      <formula>$R$33</formula>
    </cfRule>
  </conditionalFormatting>
  <conditionalFormatting sqref="O43:O54">
    <cfRule type="cellIs" dxfId="0" priority="1" operator="notEqual">
      <formula>100%</formula>
    </cfRule>
  </conditionalFormatting>
  <pageMargins left="0.7" right="0.7" top="0.75" bottom="0.75" header="0.3" footer="0.3"/>
  <pageSetup paperSize="2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notEqual" id="{2E00EE86-5AFD-4622-858E-0AF3ACA10873}">
            <xm:f>Enero!R53</xm:f>
            <x14:dxf>
              <fill>
                <patternFill>
                  <bgColor rgb="FFFF0000"/>
                </patternFill>
              </fill>
            </x14:dxf>
          </x14:cfRule>
          <xm:sqref>G43</xm:sqref>
        </x14:conditionalFormatting>
        <x14:conditionalFormatting xmlns:xm="http://schemas.microsoft.com/office/excel/2006/main">
          <x14:cfRule type="cellIs" priority="4" operator="notEqual" id="{C89FAE07-94D1-42CE-8FF3-5F6B97350CFD}">
            <xm:f>Febrero!R53</xm:f>
            <x14:dxf>
              <fill>
                <patternFill>
                  <bgColor rgb="FFFF0000"/>
                </patternFill>
              </fill>
            </x14:dxf>
          </x14:cfRule>
          <xm:sqref>G44</xm:sqref>
        </x14:conditionalFormatting>
        <x14:conditionalFormatting xmlns:xm="http://schemas.microsoft.com/office/excel/2006/main">
          <x14:cfRule type="cellIs" priority="5" operator="notEqual" id="{0247A2CC-45E4-4C3C-9AB9-56065DC4F389}">
            <xm:f>Marzo!R53</xm:f>
            <x14:dxf>
              <fill>
                <patternFill>
                  <bgColor rgb="FFFF0000"/>
                </patternFill>
              </fill>
            </x14:dxf>
          </x14:cfRule>
          <xm:sqref>G45</xm:sqref>
        </x14:conditionalFormatting>
        <x14:conditionalFormatting xmlns:xm="http://schemas.microsoft.com/office/excel/2006/main">
          <x14:cfRule type="cellIs" priority="6" operator="notEqual" id="{E4491C7E-8848-4609-84E9-B2476C5791AB}">
            <xm:f>Abril!R53</xm:f>
            <x14:dxf>
              <fill>
                <patternFill>
                  <bgColor rgb="FFFF0000"/>
                </patternFill>
              </fill>
            </x14:dxf>
          </x14:cfRule>
          <xm:sqref>G46</xm:sqref>
        </x14:conditionalFormatting>
        <x14:conditionalFormatting xmlns:xm="http://schemas.microsoft.com/office/excel/2006/main">
          <x14:cfRule type="cellIs" priority="7" operator="notEqual" id="{AEA3694F-B964-4790-9F68-C158589C4CC9}">
            <xm:f>Mayo!R53</xm:f>
            <x14:dxf>
              <fill>
                <patternFill>
                  <bgColor rgb="FFFF0000"/>
                </patternFill>
              </fill>
            </x14:dxf>
          </x14:cfRule>
          <xm:sqref>G47</xm:sqref>
        </x14:conditionalFormatting>
        <x14:conditionalFormatting xmlns:xm="http://schemas.microsoft.com/office/excel/2006/main">
          <x14:cfRule type="cellIs" priority="8" operator="notEqual" id="{2A161735-D8DA-43FE-9CF9-B1F8C30B53CE}">
            <xm:f>Junio!R53</xm:f>
            <x14:dxf>
              <fill>
                <patternFill>
                  <bgColor rgb="FFFF0000"/>
                </patternFill>
              </fill>
            </x14:dxf>
          </x14:cfRule>
          <xm:sqref>G48</xm:sqref>
        </x14:conditionalFormatting>
        <x14:conditionalFormatting xmlns:xm="http://schemas.microsoft.com/office/excel/2006/main">
          <x14:cfRule type="cellIs" priority="9" operator="notEqual" id="{D86C5AEF-9C13-456C-8362-493E8A25D633}">
            <xm:f>Julio!R53</xm:f>
            <x14:dxf>
              <fill>
                <patternFill>
                  <bgColor rgb="FFFF0000"/>
                </patternFill>
              </fill>
            </x14:dxf>
          </x14:cfRule>
          <xm:sqref>G49</xm:sqref>
        </x14:conditionalFormatting>
        <x14:conditionalFormatting xmlns:xm="http://schemas.microsoft.com/office/excel/2006/main">
          <x14:cfRule type="cellIs" priority="10" operator="notEqual" id="{F82E5B85-EBB3-4124-96FB-82A65DCF2BDE}">
            <xm:f>Agosto!R53</xm:f>
            <x14:dxf>
              <fill>
                <patternFill>
                  <bgColor rgb="FFFF0000"/>
                </patternFill>
              </fill>
            </x14:dxf>
          </x14:cfRule>
          <xm:sqref>G50</xm:sqref>
        </x14:conditionalFormatting>
        <x14:conditionalFormatting xmlns:xm="http://schemas.microsoft.com/office/excel/2006/main">
          <x14:cfRule type="cellIs" priority="11" operator="notEqual" id="{26C8F1E0-FBB3-44F8-BDA3-1FFD4B853ED3}">
            <xm:f>Septiembre!R53</xm:f>
            <x14:dxf>
              <fill>
                <patternFill>
                  <bgColor rgb="FFFF0000"/>
                </patternFill>
              </fill>
            </x14:dxf>
          </x14:cfRule>
          <xm:sqref>G51</xm:sqref>
        </x14:conditionalFormatting>
        <x14:conditionalFormatting xmlns:xm="http://schemas.microsoft.com/office/excel/2006/main">
          <x14:cfRule type="cellIs" priority="12" operator="notEqual" id="{8F96F04F-AA15-4D12-90FC-2AB89BEAEA83}">
            <xm:f>Octubre!R53</xm:f>
            <x14:dxf>
              <fill>
                <patternFill>
                  <bgColor rgb="FFFF0000"/>
                </patternFill>
              </fill>
            </x14:dxf>
          </x14:cfRule>
          <xm:sqref>G52</xm:sqref>
        </x14:conditionalFormatting>
        <x14:conditionalFormatting xmlns:xm="http://schemas.microsoft.com/office/excel/2006/main">
          <x14:cfRule type="cellIs" priority="13" operator="notEqual" id="{88B209AA-37AF-4DF2-AE39-28F80C0801E6}">
            <xm:f>Noviembre!R53</xm:f>
            <x14:dxf>
              <fill>
                <patternFill>
                  <bgColor rgb="FFFF0000"/>
                </patternFill>
              </fill>
            </x14:dxf>
          </x14:cfRule>
          <xm:sqref>G53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Instructivo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Simanca Gonzalez</dc:creator>
  <cp:keywords/>
  <dc:description/>
  <cp:lastModifiedBy>Maria Carlos Castaño Argumedo</cp:lastModifiedBy>
  <cp:revision/>
  <dcterms:created xsi:type="dcterms:W3CDTF">2022-03-08T19:10:23Z</dcterms:created>
  <dcterms:modified xsi:type="dcterms:W3CDTF">2026-03-26T13:42:31Z</dcterms:modified>
  <cp:category/>
  <cp:contentStatus/>
</cp:coreProperties>
</file>